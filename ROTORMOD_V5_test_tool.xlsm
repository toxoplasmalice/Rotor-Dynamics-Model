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Will\Desktop\BRG\New_Rotor_Tool\"/>
    </mc:Choice>
  </mc:AlternateContent>
  <xr:revisionPtr revIDLastSave="0" documentId="13_ncr:1_{904D0FB3-5F98-4414-8A33-33294274D766}" xr6:coauthVersionLast="47" xr6:coauthVersionMax="47" xr10:uidLastSave="{00000000-0000-0000-0000-000000000000}"/>
  <bookViews>
    <workbookView xWindow="-108" yWindow="-108" windowWidth="23256" windowHeight="12576" tabRatio="848" activeTab="3" xr2:uid="{00000000-000D-0000-FFFF-FFFF00000000}"/>
  </bookViews>
  <sheets>
    <sheet name="Rotor model (SI)" sheetId="39" r:id="rId1"/>
    <sheet name="Rotor Model (SAE)" sheetId="20" r:id="rId2"/>
    <sheet name="Rotor Export" sheetId="32" r:id="rId3"/>
    <sheet name="Mode comparison" sheetId="68" r:id="rId4"/>
    <sheet name="4WN" sheetId="3" r:id="rId5"/>
    <sheet name="preload" sheetId="66" r:id="rId6"/>
    <sheet name="unit conversion" sheetId="15" r:id="rId7"/>
    <sheet name="Documents" sheetId="41" r:id="rId8"/>
    <sheet name="Forces on the core" sheetId="43" r:id="rId9"/>
  </sheets>
  <definedNames>
    <definedName name="solver_adj" localSheetId="5" hidden="1">preload!#REF!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preload!#REF!</definedName>
    <definedName name="solver_lhs2" localSheetId="5" hidden="1">preload!$J$8</definedName>
    <definedName name="solver_lin" localSheetId="5" hidden="1">2</definedName>
    <definedName name="solver_neg" localSheetId="5" hidden="1">2</definedName>
    <definedName name="solver_num" localSheetId="5" hidden="1">1</definedName>
    <definedName name="solver_nwt" localSheetId="5" hidden="1">1</definedName>
    <definedName name="solver_opt" localSheetId="5" hidden="1">preload!#REF!</definedName>
    <definedName name="solver_pre" localSheetId="5" hidden="1">0.000001</definedName>
    <definedName name="solver_rel1" localSheetId="5" hidden="1">1</definedName>
    <definedName name="solver_rel2" localSheetId="5" hidden="1">1</definedName>
    <definedName name="solver_rhs1" localSheetId="5" hidden="1">0.001</definedName>
    <definedName name="solver_rhs2" localSheetId="5" hidden="1">0.002</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3</definedName>
    <definedName name="solver_val" localSheetId="5" hidden="1">0.5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68" l="1"/>
  <c r="A13" i="68" l="1"/>
  <c r="A14" i="68" s="1"/>
  <c r="A11" i="68"/>
  <c r="A12" i="68"/>
  <c r="D12" i="68" l="1"/>
  <c r="D13" i="68"/>
  <c r="D14" i="68"/>
  <c r="D11" i="68"/>
  <c r="AD7" i="20"/>
  <c r="AD6" i="20"/>
  <c r="K6" i="20"/>
  <c r="E4" i="68"/>
  <c r="AC43" i="20"/>
  <c r="AC11" i="20"/>
  <c r="E107" i="20"/>
  <c r="AC45" i="20"/>
  <c r="AC9" i="20"/>
  <c r="B36" i="32" l="1"/>
  <c r="D107" i="20"/>
  <c r="D33" i="20"/>
  <c r="D34" i="20"/>
  <c r="D32" i="32" s="1"/>
  <c r="D35" i="20"/>
  <c r="D33" i="32" s="1"/>
  <c r="C3" i="20"/>
  <c r="G107" i="20"/>
  <c r="E113" i="20"/>
  <c r="D102" i="20"/>
  <c r="C48" i="20"/>
  <c r="D47" i="20"/>
  <c r="C47" i="20"/>
  <c r="C46" i="20"/>
  <c r="E45" i="20"/>
  <c r="D45" i="20"/>
  <c r="C45" i="20"/>
  <c r="E44" i="20"/>
  <c r="C44" i="20"/>
  <c r="C43" i="20"/>
  <c r="C42" i="20"/>
  <c r="C41" i="20"/>
  <c r="C40" i="20"/>
  <c r="E39" i="20"/>
  <c r="D39" i="20"/>
  <c r="D37" i="32" s="1"/>
  <c r="C39" i="20"/>
  <c r="E38" i="20"/>
  <c r="C38" i="20"/>
  <c r="C36" i="20"/>
  <c r="E34" i="20"/>
  <c r="E35" i="20"/>
  <c r="E33" i="20"/>
  <c r="E32" i="20"/>
  <c r="D30" i="20"/>
  <c r="D31" i="20"/>
  <c r="D28" i="20"/>
  <c r="D29" i="20" s="1"/>
  <c r="D27" i="32" s="1"/>
  <c r="C29" i="20"/>
  <c r="C30" i="20"/>
  <c r="C31" i="20"/>
  <c r="C28" i="20"/>
  <c r="E27" i="20"/>
  <c r="D27" i="20"/>
  <c r="C27" i="20"/>
  <c r="E26" i="20"/>
  <c r="C26" i="20"/>
  <c r="C25" i="20"/>
  <c r="C22" i="20"/>
  <c r="C23" i="20"/>
  <c r="C24" i="20"/>
  <c r="C21" i="20"/>
  <c r="D24" i="32"/>
  <c r="D20" i="20"/>
  <c r="E9" i="20"/>
  <c r="D9" i="20"/>
  <c r="E8" i="20"/>
  <c r="D7" i="20"/>
  <c r="C31" i="32"/>
  <c r="C28" i="32"/>
  <c r="C17" i="20"/>
  <c r="C16" i="20"/>
  <c r="C9" i="20"/>
  <c r="C7" i="32" s="1"/>
  <c r="C8" i="20"/>
  <c r="C7" i="20"/>
  <c r="C5" i="32" s="1"/>
  <c r="C6" i="20"/>
  <c r="B5" i="32"/>
  <c r="C103" i="39"/>
  <c r="F107" i="39"/>
  <c r="F105" i="39"/>
  <c r="P95" i="32"/>
  <c r="O95" i="32"/>
  <c r="N95" i="32"/>
  <c r="A95" i="32"/>
  <c r="P94" i="32"/>
  <c r="O94" i="32"/>
  <c r="N94" i="32"/>
  <c r="A94" i="32"/>
  <c r="P93" i="32"/>
  <c r="O93" i="32"/>
  <c r="N93" i="32"/>
  <c r="A93" i="32"/>
  <c r="P92" i="32"/>
  <c r="O92" i="32"/>
  <c r="N92" i="32"/>
  <c r="A92" i="32"/>
  <c r="P91" i="32"/>
  <c r="O91" i="32"/>
  <c r="N91" i="32"/>
  <c r="A91" i="32"/>
  <c r="P90" i="32"/>
  <c r="O90" i="32"/>
  <c r="N90" i="32"/>
  <c r="A90" i="32"/>
  <c r="P89" i="32"/>
  <c r="O89" i="32"/>
  <c r="N89" i="32"/>
  <c r="A89" i="32"/>
  <c r="P88" i="32"/>
  <c r="O88" i="32"/>
  <c r="N88" i="32"/>
  <c r="A88" i="32"/>
  <c r="P87" i="32"/>
  <c r="O87" i="32"/>
  <c r="N87" i="32"/>
  <c r="A87" i="32"/>
  <c r="P86" i="32"/>
  <c r="O86" i="32"/>
  <c r="N86" i="32"/>
  <c r="A86" i="32"/>
  <c r="P85" i="32"/>
  <c r="O85" i="32"/>
  <c r="N85" i="32"/>
  <c r="A85" i="32"/>
  <c r="P84" i="32"/>
  <c r="O84" i="32"/>
  <c r="N84" i="32"/>
  <c r="A84" i="32"/>
  <c r="P83" i="32"/>
  <c r="O83" i="32"/>
  <c r="N83" i="32"/>
  <c r="A83" i="32"/>
  <c r="P82" i="32"/>
  <c r="O82" i="32"/>
  <c r="N82" i="32"/>
  <c r="A82" i="32"/>
  <c r="P81" i="32"/>
  <c r="O81" i="32"/>
  <c r="N81" i="32"/>
  <c r="A81" i="32"/>
  <c r="P80" i="32"/>
  <c r="O80" i="32"/>
  <c r="N80" i="32"/>
  <c r="A80" i="32"/>
  <c r="P79" i="32"/>
  <c r="O79" i="32"/>
  <c r="N79" i="32"/>
  <c r="A79" i="32"/>
  <c r="P78" i="32"/>
  <c r="O78" i="32"/>
  <c r="N78" i="32"/>
  <c r="A78" i="32"/>
  <c r="P77" i="32"/>
  <c r="O77" i="32"/>
  <c r="N77" i="32"/>
  <c r="A77" i="32"/>
  <c r="P76" i="32"/>
  <c r="O76" i="32"/>
  <c r="N76" i="32"/>
  <c r="A76" i="32"/>
  <c r="P75" i="32"/>
  <c r="O75" i="32"/>
  <c r="N75" i="32"/>
  <c r="A75" i="32"/>
  <c r="P74" i="32"/>
  <c r="O74" i="32"/>
  <c r="N74" i="32"/>
  <c r="A74" i="32"/>
  <c r="P73" i="32"/>
  <c r="O73" i="32"/>
  <c r="N73" i="32"/>
  <c r="A73" i="32"/>
  <c r="P72" i="32"/>
  <c r="O72" i="32"/>
  <c r="N72" i="32"/>
  <c r="A72" i="32"/>
  <c r="P71" i="32"/>
  <c r="O71" i="32"/>
  <c r="N71" i="32"/>
  <c r="A71" i="32"/>
  <c r="P70" i="32"/>
  <c r="O70" i="32"/>
  <c r="N70" i="32"/>
  <c r="A70" i="32"/>
  <c r="P69" i="32"/>
  <c r="O69" i="32"/>
  <c r="N69" i="32"/>
  <c r="A69" i="32"/>
  <c r="P68" i="32"/>
  <c r="O68" i="32"/>
  <c r="N68" i="32"/>
  <c r="A68" i="32"/>
  <c r="P67" i="32"/>
  <c r="O67" i="32"/>
  <c r="N67" i="32"/>
  <c r="A67" i="32"/>
  <c r="P66" i="32"/>
  <c r="O66" i="32"/>
  <c r="N66" i="32"/>
  <c r="A66" i="32"/>
  <c r="P65" i="32"/>
  <c r="O65" i="32"/>
  <c r="N65" i="32"/>
  <c r="A65" i="32"/>
  <c r="P64" i="32"/>
  <c r="O64" i="32"/>
  <c r="N64" i="32"/>
  <c r="A64" i="32"/>
  <c r="P63" i="32"/>
  <c r="O63" i="32"/>
  <c r="N63" i="32"/>
  <c r="B63" i="32"/>
  <c r="A63" i="32"/>
  <c r="P62" i="32"/>
  <c r="O62" i="32"/>
  <c r="N62" i="32"/>
  <c r="A62" i="32"/>
  <c r="P61" i="32"/>
  <c r="O61" i="32"/>
  <c r="N61" i="32"/>
  <c r="A61" i="32"/>
  <c r="P60" i="32"/>
  <c r="O60" i="32"/>
  <c r="N60" i="32"/>
  <c r="A60" i="32"/>
  <c r="P59" i="32"/>
  <c r="O59" i="32"/>
  <c r="N59" i="32"/>
  <c r="A59" i="32"/>
  <c r="P58" i="32"/>
  <c r="O58" i="32"/>
  <c r="N58" i="32"/>
  <c r="A58" i="32"/>
  <c r="P57" i="32"/>
  <c r="O57" i="32"/>
  <c r="N57" i="32"/>
  <c r="A57" i="32"/>
  <c r="P56" i="32"/>
  <c r="O56" i="32"/>
  <c r="N56" i="32"/>
  <c r="A56" i="32"/>
  <c r="P55" i="32"/>
  <c r="O55" i="32"/>
  <c r="N55" i="32"/>
  <c r="A55" i="32"/>
  <c r="P54" i="32"/>
  <c r="O54" i="32"/>
  <c r="N54" i="32"/>
  <c r="A54" i="32"/>
  <c r="P53" i="32"/>
  <c r="O53" i="32"/>
  <c r="N53" i="32"/>
  <c r="A53" i="32"/>
  <c r="P52" i="32"/>
  <c r="O52" i="32"/>
  <c r="N52" i="32"/>
  <c r="A52" i="32"/>
  <c r="P51" i="32"/>
  <c r="O51" i="32"/>
  <c r="N51" i="32"/>
  <c r="A51" i="32"/>
  <c r="P50" i="32"/>
  <c r="O50" i="32"/>
  <c r="N50" i="32"/>
  <c r="A50" i="32"/>
  <c r="P49" i="32"/>
  <c r="O49" i="32"/>
  <c r="N49" i="32"/>
  <c r="A49" i="32"/>
  <c r="P48" i="32"/>
  <c r="O48" i="32"/>
  <c r="N48" i="32"/>
  <c r="A48" i="32"/>
  <c r="P47" i="32"/>
  <c r="O47" i="32"/>
  <c r="N47" i="32"/>
  <c r="A47" i="32"/>
  <c r="P46" i="32"/>
  <c r="O46" i="32"/>
  <c r="N46" i="32"/>
  <c r="A46" i="32"/>
  <c r="P45" i="32"/>
  <c r="O45" i="32"/>
  <c r="N45" i="32"/>
  <c r="A45" i="32"/>
  <c r="P44" i="32"/>
  <c r="O44" i="32"/>
  <c r="N44" i="32"/>
  <c r="A44" i="32"/>
  <c r="P43" i="32"/>
  <c r="O43" i="32"/>
  <c r="N43" i="32"/>
  <c r="A43" i="32"/>
  <c r="P42" i="32"/>
  <c r="O42" i="32"/>
  <c r="N42" i="32"/>
  <c r="A42" i="32"/>
  <c r="P41" i="32"/>
  <c r="O41" i="32"/>
  <c r="N41" i="32"/>
  <c r="A41" i="32"/>
  <c r="P40" i="32"/>
  <c r="O40" i="32"/>
  <c r="N40" i="32"/>
  <c r="A40" i="32"/>
  <c r="P39" i="32"/>
  <c r="O39" i="32"/>
  <c r="N39" i="32"/>
  <c r="A39" i="32"/>
  <c r="P38" i="32"/>
  <c r="O38" i="32"/>
  <c r="N38" i="32"/>
  <c r="A38" i="32"/>
  <c r="P37" i="32"/>
  <c r="O37" i="32"/>
  <c r="N37" i="32"/>
  <c r="A37" i="32"/>
  <c r="P36" i="32"/>
  <c r="O36" i="32"/>
  <c r="N36" i="32"/>
  <c r="A36" i="32"/>
  <c r="P35" i="32"/>
  <c r="O35" i="32"/>
  <c r="N35" i="32"/>
  <c r="A35" i="32"/>
  <c r="P34" i="32"/>
  <c r="O34" i="32"/>
  <c r="N34" i="32"/>
  <c r="A34" i="32"/>
  <c r="P33" i="32"/>
  <c r="O33" i="32"/>
  <c r="N33" i="32"/>
  <c r="A33" i="32"/>
  <c r="P32" i="32"/>
  <c r="O32" i="32"/>
  <c r="N32" i="32"/>
  <c r="A32" i="32"/>
  <c r="P31" i="32"/>
  <c r="O31" i="32"/>
  <c r="N31" i="32"/>
  <c r="A31" i="32"/>
  <c r="P30" i="32"/>
  <c r="O30" i="32"/>
  <c r="N30" i="32"/>
  <c r="A30" i="32"/>
  <c r="P29" i="32"/>
  <c r="O29" i="32"/>
  <c r="N29" i="32"/>
  <c r="A29" i="32"/>
  <c r="P28" i="32"/>
  <c r="O28" i="32"/>
  <c r="N28" i="32"/>
  <c r="A28" i="32"/>
  <c r="P27" i="32"/>
  <c r="O27" i="32"/>
  <c r="N27" i="32"/>
  <c r="A27" i="32"/>
  <c r="P26" i="32"/>
  <c r="O26" i="32"/>
  <c r="N26" i="32"/>
  <c r="A26" i="32"/>
  <c r="P25" i="32"/>
  <c r="O25" i="32"/>
  <c r="N25" i="32"/>
  <c r="A25" i="32"/>
  <c r="P24" i="32"/>
  <c r="O24" i="32"/>
  <c r="N24" i="32"/>
  <c r="A24" i="32"/>
  <c r="P23" i="32"/>
  <c r="O23" i="32"/>
  <c r="N23" i="32"/>
  <c r="A23" i="32"/>
  <c r="P22" i="32"/>
  <c r="O22" i="32"/>
  <c r="N22" i="32"/>
  <c r="A22" i="32"/>
  <c r="P21" i="32"/>
  <c r="O21" i="32"/>
  <c r="N21" i="32"/>
  <c r="A21" i="32"/>
  <c r="P20" i="32"/>
  <c r="O20" i="32"/>
  <c r="N20" i="32"/>
  <c r="A20" i="32"/>
  <c r="P19" i="32"/>
  <c r="O19" i="32"/>
  <c r="N19" i="32"/>
  <c r="A19" i="32"/>
  <c r="P18" i="32"/>
  <c r="O18" i="32"/>
  <c r="N18" i="32"/>
  <c r="A18" i="32"/>
  <c r="P17" i="32"/>
  <c r="O17" i="32"/>
  <c r="N17" i="32"/>
  <c r="A17" i="32"/>
  <c r="P16" i="32"/>
  <c r="O16" i="32"/>
  <c r="N16" i="32"/>
  <c r="A16" i="32"/>
  <c r="P15" i="32"/>
  <c r="O15" i="32"/>
  <c r="N15" i="32"/>
  <c r="A15" i="32"/>
  <c r="P14" i="32"/>
  <c r="O14" i="32"/>
  <c r="N14" i="32"/>
  <c r="A14" i="32"/>
  <c r="P13" i="32"/>
  <c r="O13" i="32"/>
  <c r="N13" i="32"/>
  <c r="A13" i="32"/>
  <c r="P12" i="32"/>
  <c r="O12" i="32"/>
  <c r="N12" i="32"/>
  <c r="A12" i="32"/>
  <c r="P11" i="32"/>
  <c r="O11" i="32"/>
  <c r="N11" i="32"/>
  <c r="A11" i="32"/>
  <c r="P10" i="32"/>
  <c r="O10" i="32"/>
  <c r="N10" i="32"/>
  <c r="A10" i="32"/>
  <c r="P9" i="32"/>
  <c r="O9" i="32"/>
  <c r="N9" i="32"/>
  <c r="A9" i="32"/>
  <c r="P8" i="32"/>
  <c r="O8" i="32"/>
  <c r="N8" i="32"/>
  <c r="A8" i="32"/>
  <c r="P7" i="32"/>
  <c r="O7" i="32"/>
  <c r="N7" i="32"/>
  <c r="A7" i="32"/>
  <c r="P6" i="32"/>
  <c r="O6" i="32"/>
  <c r="N6" i="32"/>
  <c r="A6" i="32"/>
  <c r="P5" i="32"/>
  <c r="O5" i="32"/>
  <c r="N5" i="32"/>
  <c r="A5" i="32"/>
  <c r="AB99" i="20"/>
  <c r="AA99" i="20"/>
  <c r="Z99" i="20"/>
  <c r="Y99" i="20"/>
  <c r="X99" i="20"/>
  <c r="W99" i="20"/>
  <c r="V99" i="20"/>
  <c r="U99" i="20"/>
  <c r="Q99" i="20"/>
  <c r="P99" i="20"/>
  <c r="O99" i="20"/>
  <c r="J99" i="20"/>
  <c r="I99" i="20"/>
  <c r="H99" i="20"/>
  <c r="G99" i="20"/>
  <c r="F99" i="20"/>
  <c r="E99" i="20"/>
  <c r="D99" i="20"/>
  <c r="C99" i="20"/>
  <c r="B99" i="20"/>
  <c r="AB98" i="20"/>
  <c r="AA98" i="20"/>
  <c r="Z98" i="20"/>
  <c r="Y98" i="20"/>
  <c r="X98" i="20"/>
  <c r="W98" i="20"/>
  <c r="V98" i="20"/>
  <c r="U98" i="20"/>
  <c r="Q98" i="20"/>
  <c r="P98" i="20"/>
  <c r="O98" i="20"/>
  <c r="J98" i="20"/>
  <c r="I98" i="20"/>
  <c r="H98" i="20"/>
  <c r="G98" i="20"/>
  <c r="F98" i="20"/>
  <c r="E98" i="20"/>
  <c r="D98" i="20"/>
  <c r="C98" i="20"/>
  <c r="B98" i="20"/>
  <c r="AB97" i="20"/>
  <c r="X95" i="32" s="1"/>
  <c r="AA97" i="20"/>
  <c r="W95" i="32" s="1"/>
  <c r="Z97" i="20"/>
  <c r="V95" i="32" s="1"/>
  <c r="Y97" i="20"/>
  <c r="U95" i="32" s="1"/>
  <c r="X97" i="20"/>
  <c r="T95" i="32" s="1"/>
  <c r="W97" i="20"/>
  <c r="S95" i="32" s="1"/>
  <c r="V97" i="20"/>
  <c r="R95" i="32" s="1"/>
  <c r="U97" i="20"/>
  <c r="Q95" i="32" s="1"/>
  <c r="Q97" i="20"/>
  <c r="M95" i="32" s="1"/>
  <c r="P97" i="20"/>
  <c r="L95" i="32" s="1"/>
  <c r="O97" i="20"/>
  <c r="K95" i="32" s="1"/>
  <c r="J97" i="20"/>
  <c r="I95" i="32" s="1"/>
  <c r="I97" i="20"/>
  <c r="H95" i="32" s="1"/>
  <c r="H97" i="20"/>
  <c r="J95" i="32" s="1"/>
  <c r="G97" i="20"/>
  <c r="G95" i="32" s="1"/>
  <c r="F97" i="20"/>
  <c r="F95" i="32" s="1"/>
  <c r="E97" i="20"/>
  <c r="E95" i="32" s="1"/>
  <c r="D97" i="20"/>
  <c r="D95" i="32" s="1"/>
  <c r="C97" i="20"/>
  <c r="C95" i="32" s="1"/>
  <c r="B97" i="20"/>
  <c r="B95" i="32" s="1"/>
  <c r="AB96" i="20"/>
  <c r="X94" i="32" s="1"/>
  <c r="AA96" i="20"/>
  <c r="W94" i="32" s="1"/>
  <c r="Z96" i="20"/>
  <c r="V94" i="32" s="1"/>
  <c r="Y96" i="20"/>
  <c r="U94" i="32" s="1"/>
  <c r="X96" i="20"/>
  <c r="T94" i="32" s="1"/>
  <c r="W96" i="20"/>
  <c r="S94" i="32" s="1"/>
  <c r="V96" i="20"/>
  <c r="R94" i="32" s="1"/>
  <c r="U96" i="20"/>
  <c r="Q94" i="32" s="1"/>
  <c r="Q96" i="20"/>
  <c r="M94" i="32" s="1"/>
  <c r="P96" i="20"/>
  <c r="L94" i="32" s="1"/>
  <c r="O96" i="20"/>
  <c r="K94" i="32" s="1"/>
  <c r="J96" i="20"/>
  <c r="I94" i="32" s="1"/>
  <c r="I96" i="20"/>
  <c r="H94" i="32" s="1"/>
  <c r="H96" i="20"/>
  <c r="J94" i="32" s="1"/>
  <c r="G96" i="20"/>
  <c r="G94" i="32" s="1"/>
  <c r="F96" i="20"/>
  <c r="F94" i="32" s="1"/>
  <c r="E96" i="20"/>
  <c r="D96" i="20"/>
  <c r="D94" i="32" s="1"/>
  <c r="C96" i="20"/>
  <c r="C94" i="32" s="1"/>
  <c r="B96" i="20"/>
  <c r="B94" i="32" s="1"/>
  <c r="AB95" i="20"/>
  <c r="X93" i="32" s="1"/>
  <c r="AA95" i="20"/>
  <c r="W93" i="32" s="1"/>
  <c r="Z95" i="20"/>
  <c r="V93" i="32" s="1"/>
  <c r="Y95" i="20"/>
  <c r="U93" i="32" s="1"/>
  <c r="X95" i="20"/>
  <c r="T93" i="32" s="1"/>
  <c r="W95" i="20"/>
  <c r="S93" i="32" s="1"/>
  <c r="V95" i="20"/>
  <c r="R93" i="32" s="1"/>
  <c r="U95" i="20"/>
  <c r="Q93" i="32" s="1"/>
  <c r="Q95" i="20"/>
  <c r="M93" i="32" s="1"/>
  <c r="P95" i="20"/>
  <c r="L93" i="32" s="1"/>
  <c r="O95" i="20"/>
  <c r="K93" i="32" s="1"/>
  <c r="J95" i="20"/>
  <c r="I93" i="32" s="1"/>
  <c r="I95" i="20"/>
  <c r="H93" i="32" s="1"/>
  <c r="H95" i="20"/>
  <c r="J93" i="32" s="1"/>
  <c r="G95" i="20"/>
  <c r="G93" i="32" s="1"/>
  <c r="F95" i="20"/>
  <c r="F93" i="32" s="1"/>
  <c r="E95" i="20"/>
  <c r="E93" i="32" s="1"/>
  <c r="D95" i="20"/>
  <c r="D93" i="32" s="1"/>
  <c r="C95" i="20"/>
  <c r="C93" i="32" s="1"/>
  <c r="B95" i="20"/>
  <c r="B93" i="32" s="1"/>
  <c r="AB94" i="20"/>
  <c r="X92" i="32" s="1"/>
  <c r="AA94" i="20"/>
  <c r="W92" i="32" s="1"/>
  <c r="Z94" i="20"/>
  <c r="V92" i="32" s="1"/>
  <c r="Y94" i="20"/>
  <c r="U92" i="32" s="1"/>
  <c r="X94" i="20"/>
  <c r="T92" i="32" s="1"/>
  <c r="W94" i="20"/>
  <c r="S92" i="32" s="1"/>
  <c r="V94" i="20"/>
  <c r="R92" i="32" s="1"/>
  <c r="U94" i="20"/>
  <c r="Q92" i="32" s="1"/>
  <c r="Q94" i="20"/>
  <c r="M92" i="32" s="1"/>
  <c r="P94" i="20"/>
  <c r="L92" i="32" s="1"/>
  <c r="O94" i="20"/>
  <c r="K92" i="32" s="1"/>
  <c r="J94" i="20"/>
  <c r="I92" i="32" s="1"/>
  <c r="I94" i="20"/>
  <c r="H92" i="32" s="1"/>
  <c r="H94" i="20"/>
  <c r="J92" i="32" s="1"/>
  <c r="G94" i="20"/>
  <c r="G92" i="32" s="1"/>
  <c r="F94" i="20"/>
  <c r="F92" i="32" s="1"/>
  <c r="E94" i="20"/>
  <c r="E92" i="32" s="1"/>
  <c r="D94" i="20"/>
  <c r="D92" i="32" s="1"/>
  <c r="C94" i="20"/>
  <c r="C92" i="32" s="1"/>
  <c r="B94" i="20"/>
  <c r="B92" i="32" s="1"/>
  <c r="AB93" i="20"/>
  <c r="X91" i="32" s="1"/>
  <c r="AA93" i="20"/>
  <c r="W91" i="32" s="1"/>
  <c r="Z93" i="20"/>
  <c r="V91" i="32" s="1"/>
  <c r="Y93" i="20"/>
  <c r="U91" i="32" s="1"/>
  <c r="X93" i="20"/>
  <c r="T91" i="32" s="1"/>
  <c r="W93" i="20"/>
  <c r="S91" i="32" s="1"/>
  <c r="V93" i="20"/>
  <c r="R91" i="32" s="1"/>
  <c r="U93" i="20"/>
  <c r="Q91" i="32" s="1"/>
  <c r="Q93" i="20"/>
  <c r="M91" i="32" s="1"/>
  <c r="P93" i="20"/>
  <c r="L91" i="32" s="1"/>
  <c r="O93" i="20"/>
  <c r="K91" i="32" s="1"/>
  <c r="J93" i="20"/>
  <c r="I91" i="32" s="1"/>
  <c r="I93" i="20"/>
  <c r="H91" i="32" s="1"/>
  <c r="H93" i="20"/>
  <c r="J91" i="32" s="1"/>
  <c r="G93" i="20"/>
  <c r="G91" i="32" s="1"/>
  <c r="F93" i="20"/>
  <c r="F91" i="32" s="1"/>
  <c r="E93" i="20"/>
  <c r="D93" i="20"/>
  <c r="D91" i="32" s="1"/>
  <c r="C93" i="20"/>
  <c r="C91" i="32" s="1"/>
  <c r="B93" i="20"/>
  <c r="B91" i="32" s="1"/>
  <c r="AB92" i="20"/>
  <c r="X90" i="32" s="1"/>
  <c r="AA92" i="20"/>
  <c r="W90" i="32" s="1"/>
  <c r="Z92" i="20"/>
  <c r="V90" i="32" s="1"/>
  <c r="Y92" i="20"/>
  <c r="U90" i="32" s="1"/>
  <c r="X92" i="20"/>
  <c r="T90" i="32" s="1"/>
  <c r="W92" i="20"/>
  <c r="S90" i="32" s="1"/>
  <c r="V92" i="20"/>
  <c r="R90" i="32" s="1"/>
  <c r="U92" i="20"/>
  <c r="Q90" i="32" s="1"/>
  <c r="Q92" i="20"/>
  <c r="M90" i="32" s="1"/>
  <c r="P92" i="20"/>
  <c r="L90" i="32" s="1"/>
  <c r="O92" i="20"/>
  <c r="K90" i="32" s="1"/>
  <c r="J92" i="20"/>
  <c r="I90" i="32" s="1"/>
  <c r="I92" i="20"/>
  <c r="H90" i="32" s="1"/>
  <c r="H92" i="20"/>
  <c r="J90" i="32" s="1"/>
  <c r="G92" i="20"/>
  <c r="G90" i="32" s="1"/>
  <c r="F92" i="20"/>
  <c r="F90" i="32" s="1"/>
  <c r="E92" i="20"/>
  <c r="D92" i="20"/>
  <c r="D90" i="32" s="1"/>
  <c r="C92" i="20"/>
  <c r="C90" i="32" s="1"/>
  <c r="B92" i="20"/>
  <c r="B90" i="32" s="1"/>
  <c r="AB91" i="20"/>
  <c r="X89" i="32" s="1"/>
  <c r="AA91" i="20"/>
  <c r="W89" i="32" s="1"/>
  <c r="Z91" i="20"/>
  <c r="V89" i="32" s="1"/>
  <c r="Y91" i="20"/>
  <c r="U89" i="32" s="1"/>
  <c r="X91" i="20"/>
  <c r="T89" i="32" s="1"/>
  <c r="W91" i="20"/>
  <c r="S89" i="32" s="1"/>
  <c r="V91" i="20"/>
  <c r="R89" i="32" s="1"/>
  <c r="U91" i="20"/>
  <c r="Q89" i="32" s="1"/>
  <c r="Q91" i="20"/>
  <c r="M89" i="32" s="1"/>
  <c r="P91" i="20"/>
  <c r="L89" i="32" s="1"/>
  <c r="O91" i="20"/>
  <c r="K89" i="32" s="1"/>
  <c r="J91" i="20"/>
  <c r="I89" i="32" s="1"/>
  <c r="I91" i="20"/>
  <c r="H89" i="32" s="1"/>
  <c r="H91" i="20"/>
  <c r="J89" i="32" s="1"/>
  <c r="G91" i="20"/>
  <c r="F91" i="20"/>
  <c r="F89" i="32" s="1"/>
  <c r="E91" i="20"/>
  <c r="E89" i="32" s="1"/>
  <c r="D91" i="20"/>
  <c r="D89" i="32" s="1"/>
  <c r="C91" i="20"/>
  <c r="C89" i="32" s="1"/>
  <c r="B91" i="20"/>
  <c r="B89" i="32" s="1"/>
  <c r="AB90" i="20"/>
  <c r="X88" i="32" s="1"/>
  <c r="AA90" i="20"/>
  <c r="W88" i="32" s="1"/>
  <c r="Z90" i="20"/>
  <c r="V88" i="32" s="1"/>
  <c r="Y90" i="20"/>
  <c r="U88" i="32" s="1"/>
  <c r="X90" i="20"/>
  <c r="T88" i="32" s="1"/>
  <c r="W90" i="20"/>
  <c r="S88" i="32" s="1"/>
  <c r="V90" i="20"/>
  <c r="R88" i="32" s="1"/>
  <c r="U90" i="20"/>
  <c r="Q88" i="32" s="1"/>
  <c r="Q90" i="20"/>
  <c r="M88" i="32" s="1"/>
  <c r="P90" i="20"/>
  <c r="L88" i="32" s="1"/>
  <c r="O90" i="20"/>
  <c r="K88" i="32" s="1"/>
  <c r="J90" i="20"/>
  <c r="I88" i="32" s="1"/>
  <c r="I90" i="20"/>
  <c r="H88" i="32" s="1"/>
  <c r="H90" i="20"/>
  <c r="J88" i="32" s="1"/>
  <c r="G90" i="20"/>
  <c r="G88" i="32" s="1"/>
  <c r="F90" i="20"/>
  <c r="F88" i="32" s="1"/>
  <c r="E90" i="20"/>
  <c r="D90" i="20"/>
  <c r="D88" i="32" s="1"/>
  <c r="C90" i="20"/>
  <c r="C88" i="32" s="1"/>
  <c r="B90" i="20"/>
  <c r="B88" i="32" s="1"/>
  <c r="AB89" i="20"/>
  <c r="X87" i="32" s="1"/>
  <c r="AA89" i="20"/>
  <c r="W87" i="32" s="1"/>
  <c r="Z89" i="20"/>
  <c r="V87" i="32" s="1"/>
  <c r="Y89" i="20"/>
  <c r="U87" i="32" s="1"/>
  <c r="X89" i="20"/>
  <c r="T87" i="32" s="1"/>
  <c r="W89" i="20"/>
  <c r="S87" i="32" s="1"/>
  <c r="V89" i="20"/>
  <c r="R87" i="32" s="1"/>
  <c r="U89" i="20"/>
  <c r="Q87" i="32" s="1"/>
  <c r="Q89" i="20"/>
  <c r="M87" i="32" s="1"/>
  <c r="P89" i="20"/>
  <c r="L87" i="32" s="1"/>
  <c r="O89" i="20"/>
  <c r="K87" i="32" s="1"/>
  <c r="J89" i="20"/>
  <c r="I87" i="32" s="1"/>
  <c r="I89" i="20"/>
  <c r="H87" i="32" s="1"/>
  <c r="H89" i="20"/>
  <c r="J87" i="32" s="1"/>
  <c r="G89" i="20"/>
  <c r="G87" i="32" s="1"/>
  <c r="F89" i="20"/>
  <c r="F87" i="32" s="1"/>
  <c r="E89" i="20"/>
  <c r="D89" i="20"/>
  <c r="D87" i="32" s="1"/>
  <c r="C89" i="20"/>
  <c r="C87" i="32" s="1"/>
  <c r="B89" i="20"/>
  <c r="B87" i="32" s="1"/>
  <c r="AB88" i="20"/>
  <c r="X86" i="32" s="1"/>
  <c r="AA88" i="20"/>
  <c r="W86" i="32" s="1"/>
  <c r="Z88" i="20"/>
  <c r="V86" i="32" s="1"/>
  <c r="Y88" i="20"/>
  <c r="U86" i="32" s="1"/>
  <c r="X88" i="20"/>
  <c r="T86" i="32" s="1"/>
  <c r="W88" i="20"/>
  <c r="S86" i="32" s="1"/>
  <c r="V88" i="20"/>
  <c r="R86" i="32" s="1"/>
  <c r="U88" i="20"/>
  <c r="Q86" i="32" s="1"/>
  <c r="Q88" i="20"/>
  <c r="M86" i="32" s="1"/>
  <c r="P88" i="20"/>
  <c r="L86" i="32" s="1"/>
  <c r="O88" i="20"/>
  <c r="K86" i="32" s="1"/>
  <c r="J88" i="20"/>
  <c r="I86" i="32" s="1"/>
  <c r="I88" i="20"/>
  <c r="H86" i="32" s="1"/>
  <c r="H88" i="20"/>
  <c r="J86" i="32" s="1"/>
  <c r="G88" i="20"/>
  <c r="G86" i="32" s="1"/>
  <c r="F88" i="20"/>
  <c r="F86" i="32" s="1"/>
  <c r="E88" i="20"/>
  <c r="D88" i="20"/>
  <c r="D86" i="32" s="1"/>
  <c r="C88" i="20"/>
  <c r="C86" i="32" s="1"/>
  <c r="B88" i="20"/>
  <c r="B86" i="32" s="1"/>
  <c r="AB87" i="20"/>
  <c r="X85" i="32" s="1"/>
  <c r="AA87" i="20"/>
  <c r="W85" i="32" s="1"/>
  <c r="Z87" i="20"/>
  <c r="V85" i="32" s="1"/>
  <c r="Y87" i="20"/>
  <c r="U85" i="32" s="1"/>
  <c r="X87" i="20"/>
  <c r="T85" i="32" s="1"/>
  <c r="W87" i="20"/>
  <c r="S85" i="32" s="1"/>
  <c r="V87" i="20"/>
  <c r="R85" i="32" s="1"/>
  <c r="U87" i="20"/>
  <c r="Q85" i="32" s="1"/>
  <c r="Q87" i="20"/>
  <c r="M85" i="32" s="1"/>
  <c r="P87" i="20"/>
  <c r="L85" i="32" s="1"/>
  <c r="O87" i="20"/>
  <c r="K85" i="32" s="1"/>
  <c r="J87" i="20"/>
  <c r="I85" i="32" s="1"/>
  <c r="I87" i="20"/>
  <c r="H85" i="32" s="1"/>
  <c r="H87" i="20"/>
  <c r="J85" i="32" s="1"/>
  <c r="G87" i="20"/>
  <c r="F87" i="20"/>
  <c r="F85" i="32" s="1"/>
  <c r="E87" i="20"/>
  <c r="E85" i="32" s="1"/>
  <c r="D87" i="20"/>
  <c r="D85" i="32" s="1"/>
  <c r="C87" i="20"/>
  <c r="C85" i="32" s="1"/>
  <c r="B87" i="20"/>
  <c r="B85" i="32" s="1"/>
  <c r="AB86" i="20"/>
  <c r="X84" i="32" s="1"/>
  <c r="AA86" i="20"/>
  <c r="W84" i="32" s="1"/>
  <c r="Z86" i="20"/>
  <c r="V84" i="32" s="1"/>
  <c r="Y86" i="20"/>
  <c r="U84" i="32" s="1"/>
  <c r="X86" i="20"/>
  <c r="T84" i="32" s="1"/>
  <c r="W86" i="20"/>
  <c r="S84" i="32" s="1"/>
  <c r="V86" i="20"/>
  <c r="R84" i="32" s="1"/>
  <c r="U86" i="20"/>
  <c r="Q84" i="32" s="1"/>
  <c r="Q86" i="20"/>
  <c r="M84" i="32" s="1"/>
  <c r="P86" i="20"/>
  <c r="L84" i="32" s="1"/>
  <c r="O86" i="20"/>
  <c r="K84" i="32" s="1"/>
  <c r="J86" i="20"/>
  <c r="I84" i="32" s="1"/>
  <c r="I86" i="20"/>
  <c r="H84" i="32" s="1"/>
  <c r="H86" i="20"/>
  <c r="J84" i="32" s="1"/>
  <c r="G86" i="20"/>
  <c r="G84" i="32" s="1"/>
  <c r="F86" i="20"/>
  <c r="F84" i="32" s="1"/>
  <c r="E86" i="20"/>
  <c r="D86" i="20"/>
  <c r="D84" i="32" s="1"/>
  <c r="C86" i="20"/>
  <c r="C84" i="32" s="1"/>
  <c r="B86" i="20"/>
  <c r="B84" i="32" s="1"/>
  <c r="AB85" i="20"/>
  <c r="X83" i="32" s="1"/>
  <c r="AA85" i="20"/>
  <c r="W83" i="32" s="1"/>
  <c r="Z85" i="20"/>
  <c r="V83" i="32" s="1"/>
  <c r="Y85" i="20"/>
  <c r="U83" i="32" s="1"/>
  <c r="X85" i="20"/>
  <c r="T83" i="32" s="1"/>
  <c r="W85" i="20"/>
  <c r="S83" i="32" s="1"/>
  <c r="V85" i="20"/>
  <c r="R83" i="32" s="1"/>
  <c r="U85" i="20"/>
  <c r="Q83" i="32" s="1"/>
  <c r="Q85" i="20"/>
  <c r="M83" i="32" s="1"/>
  <c r="P85" i="20"/>
  <c r="L83" i="32" s="1"/>
  <c r="O85" i="20"/>
  <c r="K83" i="32" s="1"/>
  <c r="J85" i="20"/>
  <c r="I83" i="32" s="1"/>
  <c r="I85" i="20"/>
  <c r="H83" i="32" s="1"/>
  <c r="H85" i="20"/>
  <c r="J83" i="32" s="1"/>
  <c r="G85" i="20"/>
  <c r="G83" i="32" s="1"/>
  <c r="F85" i="20"/>
  <c r="F83" i="32" s="1"/>
  <c r="E85" i="20"/>
  <c r="D85" i="20"/>
  <c r="D83" i="32" s="1"/>
  <c r="C85" i="20"/>
  <c r="C83" i="32" s="1"/>
  <c r="B85" i="20"/>
  <c r="B83" i="32" s="1"/>
  <c r="AB84" i="20"/>
  <c r="X82" i="32" s="1"/>
  <c r="AA84" i="20"/>
  <c r="W82" i="32" s="1"/>
  <c r="Z84" i="20"/>
  <c r="V82" i="32" s="1"/>
  <c r="Y84" i="20"/>
  <c r="U82" i="32" s="1"/>
  <c r="X84" i="20"/>
  <c r="T82" i="32" s="1"/>
  <c r="W84" i="20"/>
  <c r="S82" i="32" s="1"/>
  <c r="V84" i="20"/>
  <c r="R82" i="32" s="1"/>
  <c r="U84" i="20"/>
  <c r="Q82" i="32" s="1"/>
  <c r="Q84" i="20"/>
  <c r="M82" i="32" s="1"/>
  <c r="P84" i="20"/>
  <c r="L82" i="32" s="1"/>
  <c r="O84" i="20"/>
  <c r="K82" i="32" s="1"/>
  <c r="J84" i="20"/>
  <c r="I82" i="32" s="1"/>
  <c r="I84" i="20"/>
  <c r="H82" i="32" s="1"/>
  <c r="H84" i="20"/>
  <c r="J82" i="32" s="1"/>
  <c r="G84" i="20"/>
  <c r="G82" i="32" s="1"/>
  <c r="F84" i="20"/>
  <c r="F82" i="32" s="1"/>
  <c r="E84" i="20"/>
  <c r="D84" i="20"/>
  <c r="D82" i="32" s="1"/>
  <c r="C84" i="20"/>
  <c r="C82" i="32" s="1"/>
  <c r="B84" i="20"/>
  <c r="B82" i="32" s="1"/>
  <c r="AB83" i="20"/>
  <c r="X81" i="32" s="1"/>
  <c r="AA83" i="20"/>
  <c r="W81" i="32" s="1"/>
  <c r="Z83" i="20"/>
  <c r="V81" i="32" s="1"/>
  <c r="Y83" i="20"/>
  <c r="U81" i="32" s="1"/>
  <c r="X83" i="20"/>
  <c r="T81" i="32" s="1"/>
  <c r="W83" i="20"/>
  <c r="S81" i="32" s="1"/>
  <c r="V83" i="20"/>
  <c r="R81" i="32" s="1"/>
  <c r="U83" i="20"/>
  <c r="Q81" i="32" s="1"/>
  <c r="Q83" i="20"/>
  <c r="M81" i="32" s="1"/>
  <c r="P83" i="20"/>
  <c r="L81" i="32" s="1"/>
  <c r="O83" i="20"/>
  <c r="K81" i="32" s="1"/>
  <c r="J83" i="20"/>
  <c r="I81" i="32" s="1"/>
  <c r="I83" i="20"/>
  <c r="H81" i="32" s="1"/>
  <c r="H83" i="20"/>
  <c r="J81" i="32" s="1"/>
  <c r="G83" i="20"/>
  <c r="G81" i="32" s="1"/>
  <c r="F83" i="20"/>
  <c r="F81" i="32" s="1"/>
  <c r="E83" i="20"/>
  <c r="E81" i="32" s="1"/>
  <c r="D83" i="20"/>
  <c r="D81" i="32" s="1"/>
  <c r="C83" i="20"/>
  <c r="C81" i="32" s="1"/>
  <c r="B83" i="20"/>
  <c r="B81" i="32" s="1"/>
  <c r="AB82" i="20"/>
  <c r="X80" i="32" s="1"/>
  <c r="AA82" i="20"/>
  <c r="W80" i="32" s="1"/>
  <c r="Z82" i="20"/>
  <c r="V80" i="32" s="1"/>
  <c r="Y82" i="20"/>
  <c r="U80" i="32" s="1"/>
  <c r="X82" i="20"/>
  <c r="T80" i="32" s="1"/>
  <c r="W82" i="20"/>
  <c r="S80" i="32" s="1"/>
  <c r="V82" i="20"/>
  <c r="R80" i="32" s="1"/>
  <c r="U82" i="20"/>
  <c r="Q80" i="32" s="1"/>
  <c r="Q82" i="20"/>
  <c r="M80" i="32" s="1"/>
  <c r="P82" i="20"/>
  <c r="L80" i="32" s="1"/>
  <c r="O82" i="20"/>
  <c r="K80" i="32" s="1"/>
  <c r="J82" i="20"/>
  <c r="I80" i="32" s="1"/>
  <c r="I82" i="20"/>
  <c r="H80" i="32" s="1"/>
  <c r="H82" i="20"/>
  <c r="J80" i="32" s="1"/>
  <c r="G82" i="20"/>
  <c r="G80" i="32" s="1"/>
  <c r="F82" i="20"/>
  <c r="F80" i="32" s="1"/>
  <c r="E82" i="20"/>
  <c r="E80" i="32" s="1"/>
  <c r="D82" i="20"/>
  <c r="D80" i="32" s="1"/>
  <c r="C82" i="20"/>
  <c r="C80" i="32" s="1"/>
  <c r="B82" i="20"/>
  <c r="B80" i="32" s="1"/>
  <c r="AB81" i="20"/>
  <c r="X79" i="32" s="1"/>
  <c r="AA81" i="20"/>
  <c r="W79" i="32" s="1"/>
  <c r="Z81" i="20"/>
  <c r="V79" i="32" s="1"/>
  <c r="Y81" i="20"/>
  <c r="U79" i="32" s="1"/>
  <c r="X81" i="20"/>
  <c r="T79" i="32" s="1"/>
  <c r="W81" i="20"/>
  <c r="S79" i="32" s="1"/>
  <c r="V81" i="20"/>
  <c r="R79" i="32" s="1"/>
  <c r="U81" i="20"/>
  <c r="Q79" i="32" s="1"/>
  <c r="Q81" i="20"/>
  <c r="M79" i="32" s="1"/>
  <c r="P81" i="20"/>
  <c r="L79" i="32" s="1"/>
  <c r="O81" i="20"/>
  <c r="K79" i="32" s="1"/>
  <c r="J81" i="20"/>
  <c r="I79" i="32" s="1"/>
  <c r="I81" i="20"/>
  <c r="H79" i="32" s="1"/>
  <c r="H81" i="20"/>
  <c r="J79" i="32" s="1"/>
  <c r="G81" i="20"/>
  <c r="G79" i="32" s="1"/>
  <c r="F81" i="20"/>
  <c r="F79" i="32" s="1"/>
  <c r="E81" i="20"/>
  <c r="E79" i="32" s="1"/>
  <c r="D81" i="20"/>
  <c r="D79" i="32" s="1"/>
  <c r="C81" i="20"/>
  <c r="C79" i="32" s="1"/>
  <c r="B81" i="20"/>
  <c r="B79" i="32" s="1"/>
  <c r="AB80" i="20"/>
  <c r="X78" i="32" s="1"/>
  <c r="AA80" i="20"/>
  <c r="W78" i="32" s="1"/>
  <c r="Z80" i="20"/>
  <c r="V78" i="32" s="1"/>
  <c r="Y80" i="20"/>
  <c r="U78" i="32" s="1"/>
  <c r="X80" i="20"/>
  <c r="T78" i="32" s="1"/>
  <c r="W80" i="20"/>
  <c r="S78" i="32" s="1"/>
  <c r="V80" i="20"/>
  <c r="R78" i="32" s="1"/>
  <c r="U80" i="20"/>
  <c r="Q78" i="32" s="1"/>
  <c r="Q80" i="20"/>
  <c r="M78" i="32" s="1"/>
  <c r="P80" i="20"/>
  <c r="L78" i="32" s="1"/>
  <c r="O80" i="20"/>
  <c r="K78" i="32" s="1"/>
  <c r="J80" i="20"/>
  <c r="I78" i="32" s="1"/>
  <c r="I80" i="20"/>
  <c r="H78" i="32" s="1"/>
  <c r="H80" i="20"/>
  <c r="J78" i="32" s="1"/>
  <c r="G80" i="20"/>
  <c r="G78" i="32" s="1"/>
  <c r="F80" i="20"/>
  <c r="F78" i="32" s="1"/>
  <c r="E80" i="20"/>
  <c r="D80" i="20"/>
  <c r="D78" i="32" s="1"/>
  <c r="C80" i="20"/>
  <c r="C78" i="32" s="1"/>
  <c r="B80" i="20"/>
  <c r="B78" i="32" s="1"/>
  <c r="AB79" i="20"/>
  <c r="X77" i="32" s="1"/>
  <c r="AA79" i="20"/>
  <c r="W77" i="32" s="1"/>
  <c r="Z79" i="20"/>
  <c r="V77" i="32" s="1"/>
  <c r="Y79" i="20"/>
  <c r="U77" i="32" s="1"/>
  <c r="X79" i="20"/>
  <c r="T77" i="32" s="1"/>
  <c r="W79" i="20"/>
  <c r="S77" i="32" s="1"/>
  <c r="V79" i="20"/>
  <c r="R77" i="32" s="1"/>
  <c r="U79" i="20"/>
  <c r="Q77" i="32" s="1"/>
  <c r="Q79" i="20"/>
  <c r="M77" i="32" s="1"/>
  <c r="P79" i="20"/>
  <c r="L77" i="32" s="1"/>
  <c r="O79" i="20"/>
  <c r="K77" i="32" s="1"/>
  <c r="J79" i="20"/>
  <c r="I77" i="32" s="1"/>
  <c r="I79" i="20"/>
  <c r="H77" i="32" s="1"/>
  <c r="H79" i="20"/>
  <c r="J77" i="32" s="1"/>
  <c r="G79" i="20"/>
  <c r="G77" i="32" s="1"/>
  <c r="F79" i="20"/>
  <c r="F77" i="32" s="1"/>
  <c r="E79" i="20"/>
  <c r="E77" i="32" s="1"/>
  <c r="D79" i="20"/>
  <c r="D77" i="32" s="1"/>
  <c r="C79" i="20"/>
  <c r="C77" i="32" s="1"/>
  <c r="B79" i="20"/>
  <c r="B77" i="32" s="1"/>
  <c r="AB78" i="20"/>
  <c r="X76" i="32" s="1"/>
  <c r="AA78" i="20"/>
  <c r="W76" i="32" s="1"/>
  <c r="Z78" i="20"/>
  <c r="V76" i="32" s="1"/>
  <c r="Y78" i="20"/>
  <c r="U76" i="32" s="1"/>
  <c r="X78" i="20"/>
  <c r="T76" i="32" s="1"/>
  <c r="W78" i="20"/>
  <c r="S76" i="32" s="1"/>
  <c r="V78" i="20"/>
  <c r="R76" i="32" s="1"/>
  <c r="U78" i="20"/>
  <c r="Q76" i="32" s="1"/>
  <c r="Q78" i="20"/>
  <c r="M76" i="32" s="1"/>
  <c r="P78" i="20"/>
  <c r="L76" i="32" s="1"/>
  <c r="O78" i="20"/>
  <c r="K76" i="32" s="1"/>
  <c r="J78" i="20"/>
  <c r="I76" i="32" s="1"/>
  <c r="I78" i="20"/>
  <c r="H76" i="32" s="1"/>
  <c r="H78" i="20"/>
  <c r="J76" i="32" s="1"/>
  <c r="G78" i="20"/>
  <c r="G76" i="32" s="1"/>
  <c r="F78" i="20"/>
  <c r="F76" i="32" s="1"/>
  <c r="E78" i="20"/>
  <c r="E76" i="32" s="1"/>
  <c r="D78" i="20"/>
  <c r="D76" i="32" s="1"/>
  <c r="C78" i="20"/>
  <c r="C76" i="32" s="1"/>
  <c r="B78" i="20"/>
  <c r="B76" i="32" s="1"/>
  <c r="AB77" i="20"/>
  <c r="X75" i="32" s="1"/>
  <c r="AA77" i="20"/>
  <c r="W75" i="32" s="1"/>
  <c r="Z77" i="20"/>
  <c r="V75" i="32" s="1"/>
  <c r="Y77" i="20"/>
  <c r="U75" i="32" s="1"/>
  <c r="X77" i="20"/>
  <c r="T75" i="32" s="1"/>
  <c r="W77" i="20"/>
  <c r="S75" i="32" s="1"/>
  <c r="V77" i="20"/>
  <c r="R75" i="32" s="1"/>
  <c r="U77" i="20"/>
  <c r="Q75" i="32" s="1"/>
  <c r="Q77" i="20"/>
  <c r="M75" i="32" s="1"/>
  <c r="P77" i="20"/>
  <c r="L75" i="32" s="1"/>
  <c r="O77" i="20"/>
  <c r="K75" i="32" s="1"/>
  <c r="J77" i="20"/>
  <c r="I75" i="32" s="1"/>
  <c r="I77" i="20"/>
  <c r="H75" i="32" s="1"/>
  <c r="H77" i="20"/>
  <c r="J75" i="32" s="1"/>
  <c r="G77" i="20"/>
  <c r="G75" i="32" s="1"/>
  <c r="F77" i="20"/>
  <c r="F75" i="32" s="1"/>
  <c r="E77" i="20"/>
  <c r="E75" i="32" s="1"/>
  <c r="D77" i="20"/>
  <c r="D75" i="32" s="1"/>
  <c r="C77" i="20"/>
  <c r="C75" i="32" s="1"/>
  <c r="B77" i="20"/>
  <c r="B75" i="32" s="1"/>
  <c r="AB76" i="20"/>
  <c r="X74" i="32" s="1"/>
  <c r="AA76" i="20"/>
  <c r="W74" i="32" s="1"/>
  <c r="Z76" i="20"/>
  <c r="V74" i="32" s="1"/>
  <c r="Y76" i="20"/>
  <c r="U74" i="32" s="1"/>
  <c r="X76" i="20"/>
  <c r="T74" i="32" s="1"/>
  <c r="W76" i="20"/>
  <c r="S74" i="32" s="1"/>
  <c r="V76" i="20"/>
  <c r="R74" i="32" s="1"/>
  <c r="U76" i="20"/>
  <c r="Q74" i="32" s="1"/>
  <c r="Q76" i="20"/>
  <c r="M74" i="32" s="1"/>
  <c r="P76" i="20"/>
  <c r="L74" i="32" s="1"/>
  <c r="O76" i="20"/>
  <c r="K74" i="32" s="1"/>
  <c r="J76" i="20"/>
  <c r="I74" i="32" s="1"/>
  <c r="I76" i="20"/>
  <c r="H74" i="32" s="1"/>
  <c r="H76" i="20"/>
  <c r="J74" i="32" s="1"/>
  <c r="G76" i="20"/>
  <c r="G74" i="32" s="1"/>
  <c r="F76" i="20"/>
  <c r="F74" i="32" s="1"/>
  <c r="E76" i="20"/>
  <c r="D76" i="20"/>
  <c r="D74" i="32" s="1"/>
  <c r="C76" i="20"/>
  <c r="C74" i="32" s="1"/>
  <c r="B76" i="20"/>
  <c r="B74" i="32" s="1"/>
  <c r="AB75" i="20"/>
  <c r="X73" i="32" s="1"/>
  <c r="AA75" i="20"/>
  <c r="W73" i="32" s="1"/>
  <c r="Z75" i="20"/>
  <c r="V73" i="32" s="1"/>
  <c r="Y75" i="20"/>
  <c r="U73" i="32" s="1"/>
  <c r="X75" i="20"/>
  <c r="T73" i="32" s="1"/>
  <c r="W75" i="20"/>
  <c r="S73" i="32" s="1"/>
  <c r="V75" i="20"/>
  <c r="R73" i="32" s="1"/>
  <c r="U75" i="20"/>
  <c r="Q73" i="32" s="1"/>
  <c r="Q75" i="20"/>
  <c r="M73" i="32" s="1"/>
  <c r="P75" i="20"/>
  <c r="L73" i="32" s="1"/>
  <c r="O75" i="20"/>
  <c r="K73" i="32" s="1"/>
  <c r="J75" i="20"/>
  <c r="I73" i="32" s="1"/>
  <c r="I75" i="20"/>
  <c r="H73" i="32" s="1"/>
  <c r="H75" i="20"/>
  <c r="J73" i="32" s="1"/>
  <c r="G75" i="20"/>
  <c r="G73" i="32" s="1"/>
  <c r="F75" i="20"/>
  <c r="F73" i="32" s="1"/>
  <c r="E75" i="20"/>
  <c r="E73" i="32" s="1"/>
  <c r="D75" i="20"/>
  <c r="D73" i="32" s="1"/>
  <c r="C75" i="20"/>
  <c r="C73" i="32" s="1"/>
  <c r="B75" i="20"/>
  <c r="B73" i="32" s="1"/>
  <c r="AB74" i="20"/>
  <c r="X72" i="32" s="1"/>
  <c r="AA74" i="20"/>
  <c r="W72" i="32" s="1"/>
  <c r="Z74" i="20"/>
  <c r="V72" i="32" s="1"/>
  <c r="Y74" i="20"/>
  <c r="U72" i="32" s="1"/>
  <c r="X74" i="20"/>
  <c r="T72" i="32" s="1"/>
  <c r="W74" i="20"/>
  <c r="S72" i="32" s="1"/>
  <c r="V74" i="20"/>
  <c r="R72" i="32" s="1"/>
  <c r="U74" i="20"/>
  <c r="Q72" i="32" s="1"/>
  <c r="Q74" i="20"/>
  <c r="M72" i="32" s="1"/>
  <c r="P74" i="20"/>
  <c r="L72" i="32" s="1"/>
  <c r="O74" i="20"/>
  <c r="K72" i="32" s="1"/>
  <c r="J74" i="20"/>
  <c r="I72" i="32" s="1"/>
  <c r="I74" i="20"/>
  <c r="H72" i="32" s="1"/>
  <c r="H74" i="20"/>
  <c r="J72" i="32" s="1"/>
  <c r="G74" i="20"/>
  <c r="G72" i="32" s="1"/>
  <c r="F74" i="20"/>
  <c r="F72" i="32" s="1"/>
  <c r="E74" i="20"/>
  <c r="E72" i="32" s="1"/>
  <c r="D74" i="20"/>
  <c r="D72" i="32" s="1"/>
  <c r="C74" i="20"/>
  <c r="C72" i="32" s="1"/>
  <c r="B74" i="20"/>
  <c r="B72" i="32" s="1"/>
  <c r="AB73" i="20"/>
  <c r="X71" i="32" s="1"/>
  <c r="AA73" i="20"/>
  <c r="W71" i="32" s="1"/>
  <c r="Z73" i="20"/>
  <c r="V71" i="32" s="1"/>
  <c r="Y73" i="20"/>
  <c r="U71" i="32" s="1"/>
  <c r="X73" i="20"/>
  <c r="T71" i="32" s="1"/>
  <c r="W73" i="20"/>
  <c r="S71" i="32" s="1"/>
  <c r="V73" i="20"/>
  <c r="R71" i="32" s="1"/>
  <c r="U73" i="20"/>
  <c r="Q71" i="32" s="1"/>
  <c r="Q73" i="20"/>
  <c r="M71" i="32" s="1"/>
  <c r="P73" i="20"/>
  <c r="L71" i="32" s="1"/>
  <c r="O73" i="20"/>
  <c r="K71" i="32" s="1"/>
  <c r="J73" i="20"/>
  <c r="I71" i="32" s="1"/>
  <c r="I73" i="20"/>
  <c r="H71" i="32" s="1"/>
  <c r="H73" i="20"/>
  <c r="J71" i="32" s="1"/>
  <c r="G73" i="20"/>
  <c r="F73" i="20"/>
  <c r="F71" i="32" s="1"/>
  <c r="E73" i="20"/>
  <c r="E71" i="32" s="1"/>
  <c r="D73" i="20"/>
  <c r="D71" i="32" s="1"/>
  <c r="C73" i="20"/>
  <c r="C71" i="32" s="1"/>
  <c r="B73" i="20"/>
  <c r="B71" i="32" s="1"/>
  <c r="AB72" i="20"/>
  <c r="X70" i="32" s="1"/>
  <c r="AA72" i="20"/>
  <c r="W70" i="32" s="1"/>
  <c r="Z72" i="20"/>
  <c r="V70" i="32" s="1"/>
  <c r="Y72" i="20"/>
  <c r="U70" i="32" s="1"/>
  <c r="X72" i="20"/>
  <c r="T70" i="32" s="1"/>
  <c r="W72" i="20"/>
  <c r="S70" i="32" s="1"/>
  <c r="V72" i="20"/>
  <c r="R70" i="32" s="1"/>
  <c r="U72" i="20"/>
  <c r="Q70" i="32" s="1"/>
  <c r="Q72" i="20"/>
  <c r="M70" i="32" s="1"/>
  <c r="P72" i="20"/>
  <c r="L70" i="32" s="1"/>
  <c r="O72" i="20"/>
  <c r="K70" i="32" s="1"/>
  <c r="J72" i="20"/>
  <c r="I70" i="32" s="1"/>
  <c r="I72" i="20"/>
  <c r="H70" i="32" s="1"/>
  <c r="H72" i="20"/>
  <c r="J70" i="32" s="1"/>
  <c r="G72" i="20"/>
  <c r="G70" i="32" s="1"/>
  <c r="F72" i="20"/>
  <c r="F70" i="32" s="1"/>
  <c r="D70" i="32"/>
  <c r="C70" i="32"/>
  <c r="B70" i="32"/>
  <c r="AB71" i="20"/>
  <c r="X69" i="32" s="1"/>
  <c r="AA71" i="20"/>
  <c r="W69" i="32" s="1"/>
  <c r="Z71" i="20"/>
  <c r="V69" i="32" s="1"/>
  <c r="Y71" i="20"/>
  <c r="U69" i="32" s="1"/>
  <c r="X71" i="20"/>
  <c r="T69" i="32" s="1"/>
  <c r="W71" i="20"/>
  <c r="S69" i="32" s="1"/>
  <c r="V71" i="20"/>
  <c r="R69" i="32" s="1"/>
  <c r="U71" i="20"/>
  <c r="Q69" i="32" s="1"/>
  <c r="Q71" i="20"/>
  <c r="M69" i="32" s="1"/>
  <c r="P71" i="20"/>
  <c r="L69" i="32" s="1"/>
  <c r="O71" i="20"/>
  <c r="K69" i="32" s="1"/>
  <c r="J71" i="20"/>
  <c r="I69" i="32" s="1"/>
  <c r="I71" i="20"/>
  <c r="H69" i="32" s="1"/>
  <c r="H71" i="20"/>
  <c r="J69" i="32" s="1"/>
  <c r="G71" i="20"/>
  <c r="G69" i="32" s="1"/>
  <c r="F71" i="20"/>
  <c r="F69" i="32" s="1"/>
  <c r="E69" i="32"/>
  <c r="D69" i="32"/>
  <c r="C69" i="32"/>
  <c r="B69" i="32"/>
  <c r="AB70" i="20"/>
  <c r="X68" i="32" s="1"/>
  <c r="AA70" i="20"/>
  <c r="W68" i="32" s="1"/>
  <c r="Z70" i="20"/>
  <c r="V68" i="32" s="1"/>
  <c r="Y70" i="20"/>
  <c r="U68" i="32" s="1"/>
  <c r="X70" i="20"/>
  <c r="T68" i="32" s="1"/>
  <c r="W70" i="20"/>
  <c r="S68" i="32" s="1"/>
  <c r="V70" i="20"/>
  <c r="R68" i="32" s="1"/>
  <c r="U70" i="20"/>
  <c r="Q68" i="32" s="1"/>
  <c r="Q70" i="20"/>
  <c r="M68" i="32" s="1"/>
  <c r="P70" i="20"/>
  <c r="L68" i="32" s="1"/>
  <c r="O70" i="20"/>
  <c r="K68" i="32" s="1"/>
  <c r="J70" i="20"/>
  <c r="I68" i="32" s="1"/>
  <c r="I70" i="20"/>
  <c r="H68" i="32" s="1"/>
  <c r="H70" i="20"/>
  <c r="J68" i="32" s="1"/>
  <c r="G70" i="20"/>
  <c r="G68" i="32" s="1"/>
  <c r="F70" i="20"/>
  <c r="F68" i="32" s="1"/>
  <c r="E68" i="32"/>
  <c r="D68" i="32"/>
  <c r="C68" i="32"/>
  <c r="B68" i="32"/>
  <c r="AB69" i="20"/>
  <c r="X67" i="32" s="1"/>
  <c r="AA69" i="20"/>
  <c r="W67" i="32" s="1"/>
  <c r="Z69" i="20"/>
  <c r="V67" i="32" s="1"/>
  <c r="Y69" i="20"/>
  <c r="U67" i="32" s="1"/>
  <c r="X69" i="20"/>
  <c r="T67" i="32" s="1"/>
  <c r="W69" i="20"/>
  <c r="S67" i="32" s="1"/>
  <c r="V69" i="20"/>
  <c r="R67" i="32" s="1"/>
  <c r="U69" i="20"/>
  <c r="Q67" i="32" s="1"/>
  <c r="Q69" i="20"/>
  <c r="M67" i="32" s="1"/>
  <c r="P69" i="20"/>
  <c r="L67" i="32" s="1"/>
  <c r="O69" i="20"/>
  <c r="K67" i="32" s="1"/>
  <c r="J69" i="20"/>
  <c r="I67" i="32" s="1"/>
  <c r="I69" i="20"/>
  <c r="H67" i="32" s="1"/>
  <c r="H69" i="20"/>
  <c r="J67" i="32" s="1"/>
  <c r="G69" i="20"/>
  <c r="G67" i="32" s="1"/>
  <c r="F69" i="20"/>
  <c r="F67" i="32" s="1"/>
  <c r="E67" i="32"/>
  <c r="D67" i="32"/>
  <c r="C67" i="32"/>
  <c r="B67" i="32"/>
  <c r="AB68" i="20"/>
  <c r="X66" i="32" s="1"/>
  <c r="AA68" i="20"/>
  <c r="W66" i="32" s="1"/>
  <c r="Z68" i="20"/>
  <c r="V66" i="32" s="1"/>
  <c r="Y68" i="20"/>
  <c r="U66" i="32" s="1"/>
  <c r="X68" i="20"/>
  <c r="T66" i="32" s="1"/>
  <c r="W68" i="20"/>
  <c r="S66" i="32" s="1"/>
  <c r="V68" i="20"/>
  <c r="R66" i="32" s="1"/>
  <c r="U68" i="20"/>
  <c r="Q66" i="32" s="1"/>
  <c r="Q68" i="20"/>
  <c r="M66" i="32" s="1"/>
  <c r="P68" i="20"/>
  <c r="L66" i="32" s="1"/>
  <c r="O68" i="20"/>
  <c r="K66" i="32" s="1"/>
  <c r="J68" i="20"/>
  <c r="I66" i="32" s="1"/>
  <c r="I68" i="20"/>
  <c r="H66" i="32" s="1"/>
  <c r="H68" i="20"/>
  <c r="J66" i="32" s="1"/>
  <c r="G68" i="20"/>
  <c r="G66" i="32" s="1"/>
  <c r="F68" i="20"/>
  <c r="F66" i="32" s="1"/>
  <c r="D66" i="32"/>
  <c r="C66" i="32"/>
  <c r="B66" i="32"/>
  <c r="AB67" i="20"/>
  <c r="X65" i="32" s="1"/>
  <c r="AA67" i="20"/>
  <c r="W65" i="32" s="1"/>
  <c r="Z67" i="20"/>
  <c r="V65" i="32" s="1"/>
  <c r="Y67" i="20"/>
  <c r="U65" i="32" s="1"/>
  <c r="X67" i="20"/>
  <c r="T65" i="32" s="1"/>
  <c r="W67" i="20"/>
  <c r="S65" i="32" s="1"/>
  <c r="V67" i="20"/>
  <c r="R65" i="32" s="1"/>
  <c r="U67" i="20"/>
  <c r="Q65" i="32" s="1"/>
  <c r="Q67" i="20"/>
  <c r="M65" i="32" s="1"/>
  <c r="P67" i="20"/>
  <c r="L65" i="32" s="1"/>
  <c r="O67" i="20"/>
  <c r="K65" i="32" s="1"/>
  <c r="J67" i="20"/>
  <c r="I65" i="32" s="1"/>
  <c r="I67" i="20"/>
  <c r="H65" i="32" s="1"/>
  <c r="H67" i="20"/>
  <c r="J65" i="32" s="1"/>
  <c r="G67" i="20"/>
  <c r="F67" i="20"/>
  <c r="F65" i="32" s="1"/>
  <c r="E65" i="32"/>
  <c r="D65" i="32"/>
  <c r="C65" i="32"/>
  <c r="B65" i="32"/>
  <c r="AB66" i="20"/>
  <c r="X64" i="32" s="1"/>
  <c r="AA66" i="20"/>
  <c r="W64" i="32" s="1"/>
  <c r="Z66" i="20"/>
  <c r="V64" i="32" s="1"/>
  <c r="Y66" i="20"/>
  <c r="U64" i="32" s="1"/>
  <c r="X66" i="20"/>
  <c r="T64" i="32" s="1"/>
  <c r="W66" i="20"/>
  <c r="S64" i="32" s="1"/>
  <c r="V66" i="20"/>
  <c r="R64" i="32" s="1"/>
  <c r="U66" i="20"/>
  <c r="Q64" i="32" s="1"/>
  <c r="Q66" i="20"/>
  <c r="M64" i="32" s="1"/>
  <c r="P66" i="20"/>
  <c r="L64" i="32" s="1"/>
  <c r="O66" i="20"/>
  <c r="K64" i="32" s="1"/>
  <c r="J66" i="20"/>
  <c r="I64" i="32" s="1"/>
  <c r="I66" i="20"/>
  <c r="H64" i="32" s="1"/>
  <c r="H66" i="20"/>
  <c r="J64" i="32" s="1"/>
  <c r="G66" i="20"/>
  <c r="G64" i="32" s="1"/>
  <c r="F66" i="20"/>
  <c r="F64" i="32" s="1"/>
  <c r="D64" i="32"/>
  <c r="C64" i="32"/>
  <c r="B64" i="32"/>
  <c r="AB65" i="20"/>
  <c r="X63" i="32" s="1"/>
  <c r="AA65" i="20"/>
  <c r="W63" i="32" s="1"/>
  <c r="Z65" i="20"/>
  <c r="V63" i="32" s="1"/>
  <c r="Y65" i="20"/>
  <c r="U63" i="32" s="1"/>
  <c r="X65" i="20"/>
  <c r="T63" i="32" s="1"/>
  <c r="W65" i="20"/>
  <c r="S63" i="32" s="1"/>
  <c r="V65" i="20"/>
  <c r="R63" i="32" s="1"/>
  <c r="U65" i="20"/>
  <c r="Q63" i="32" s="1"/>
  <c r="Q65" i="20"/>
  <c r="M63" i="32" s="1"/>
  <c r="P65" i="20"/>
  <c r="L63" i="32" s="1"/>
  <c r="O65" i="20"/>
  <c r="K63" i="32" s="1"/>
  <c r="J65" i="20"/>
  <c r="I63" i="32" s="1"/>
  <c r="I65" i="20"/>
  <c r="H63" i="32" s="1"/>
  <c r="H65" i="20"/>
  <c r="J63" i="32" s="1"/>
  <c r="G65" i="20"/>
  <c r="G63" i="32" s="1"/>
  <c r="F65" i="20"/>
  <c r="F63" i="32" s="1"/>
  <c r="E63" i="32"/>
  <c r="D63" i="32"/>
  <c r="C63" i="32"/>
  <c r="AB64" i="20"/>
  <c r="X62" i="32" s="1"/>
  <c r="AA64" i="20"/>
  <c r="W62" i="32" s="1"/>
  <c r="Z64" i="20"/>
  <c r="V62" i="32" s="1"/>
  <c r="Y64" i="20"/>
  <c r="U62" i="32" s="1"/>
  <c r="X64" i="20"/>
  <c r="T62" i="32" s="1"/>
  <c r="W64" i="20"/>
  <c r="S62" i="32" s="1"/>
  <c r="V64" i="20"/>
  <c r="R62" i="32" s="1"/>
  <c r="U64" i="20"/>
  <c r="Q62" i="32" s="1"/>
  <c r="Q64" i="20"/>
  <c r="M62" i="32" s="1"/>
  <c r="P64" i="20"/>
  <c r="L62" i="32" s="1"/>
  <c r="O64" i="20"/>
  <c r="K62" i="32" s="1"/>
  <c r="J64" i="20"/>
  <c r="I62" i="32" s="1"/>
  <c r="I64" i="20"/>
  <c r="H62" i="32" s="1"/>
  <c r="H64" i="20"/>
  <c r="J62" i="32" s="1"/>
  <c r="G64" i="20"/>
  <c r="G62" i="32" s="1"/>
  <c r="F64" i="20"/>
  <c r="F62" i="32" s="1"/>
  <c r="D62" i="32"/>
  <c r="C62" i="32"/>
  <c r="B62" i="32"/>
  <c r="AB63" i="20"/>
  <c r="X61" i="32" s="1"/>
  <c r="AA63" i="20"/>
  <c r="W61" i="32" s="1"/>
  <c r="Z63" i="20"/>
  <c r="V61" i="32" s="1"/>
  <c r="Y63" i="20"/>
  <c r="U61" i="32" s="1"/>
  <c r="X63" i="20"/>
  <c r="T61" i="32" s="1"/>
  <c r="W63" i="20"/>
  <c r="S61" i="32" s="1"/>
  <c r="V63" i="20"/>
  <c r="R61" i="32" s="1"/>
  <c r="U63" i="20"/>
  <c r="Q61" i="32" s="1"/>
  <c r="Q63" i="20"/>
  <c r="M61" i="32" s="1"/>
  <c r="P63" i="20"/>
  <c r="L61" i="32" s="1"/>
  <c r="O63" i="20"/>
  <c r="K61" i="32" s="1"/>
  <c r="J63" i="20"/>
  <c r="I61" i="32" s="1"/>
  <c r="I63" i="20"/>
  <c r="H61" i="32" s="1"/>
  <c r="H63" i="20"/>
  <c r="J61" i="32" s="1"/>
  <c r="G63" i="20"/>
  <c r="G61" i="32" s="1"/>
  <c r="F63" i="20"/>
  <c r="F61" i="32" s="1"/>
  <c r="E61" i="32"/>
  <c r="D61" i="32"/>
  <c r="C61" i="32"/>
  <c r="B61" i="32"/>
  <c r="AB62" i="20"/>
  <c r="X60" i="32" s="1"/>
  <c r="AA62" i="20"/>
  <c r="W60" i="32" s="1"/>
  <c r="Z62" i="20"/>
  <c r="V60" i="32" s="1"/>
  <c r="Y62" i="20"/>
  <c r="U60" i="32" s="1"/>
  <c r="X62" i="20"/>
  <c r="T60" i="32" s="1"/>
  <c r="W62" i="20"/>
  <c r="S60" i="32" s="1"/>
  <c r="V62" i="20"/>
  <c r="R60" i="32" s="1"/>
  <c r="U62" i="20"/>
  <c r="Q60" i="32" s="1"/>
  <c r="Q62" i="20"/>
  <c r="M60" i="32" s="1"/>
  <c r="P62" i="20"/>
  <c r="L60" i="32" s="1"/>
  <c r="O62" i="20"/>
  <c r="K60" i="32" s="1"/>
  <c r="J62" i="20"/>
  <c r="I60" i="32" s="1"/>
  <c r="I62" i="20"/>
  <c r="H60" i="32" s="1"/>
  <c r="H62" i="20"/>
  <c r="J60" i="32" s="1"/>
  <c r="G62" i="20"/>
  <c r="G60" i="32" s="1"/>
  <c r="F62" i="20"/>
  <c r="F60" i="32" s="1"/>
  <c r="E60" i="32"/>
  <c r="D60" i="32"/>
  <c r="C60" i="32"/>
  <c r="B60" i="32"/>
  <c r="AB61" i="20"/>
  <c r="X59" i="32" s="1"/>
  <c r="AA61" i="20"/>
  <c r="W59" i="32" s="1"/>
  <c r="Z61" i="20"/>
  <c r="V59" i="32" s="1"/>
  <c r="Y61" i="20"/>
  <c r="U59" i="32" s="1"/>
  <c r="X61" i="20"/>
  <c r="T59" i="32" s="1"/>
  <c r="W61" i="20"/>
  <c r="S59" i="32" s="1"/>
  <c r="V61" i="20"/>
  <c r="R59" i="32" s="1"/>
  <c r="U61" i="20"/>
  <c r="Q59" i="32" s="1"/>
  <c r="Q61" i="20"/>
  <c r="M59" i="32" s="1"/>
  <c r="P61" i="20"/>
  <c r="L59" i="32" s="1"/>
  <c r="O61" i="20"/>
  <c r="K59" i="32" s="1"/>
  <c r="J61" i="20"/>
  <c r="I59" i="32" s="1"/>
  <c r="I61" i="20"/>
  <c r="H59" i="32" s="1"/>
  <c r="H61" i="20"/>
  <c r="J59" i="32" s="1"/>
  <c r="G61" i="20"/>
  <c r="G59" i="32" s="1"/>
  <c r="F61" i="20"/>
  <c r="F59" i="32" s="1"/>
  <c r="E59" i="32"/>
  <c r="D59" i="32"/>
  <c r="C59" i="32"/>
  <c r="B59" i="32"/>
  <c r="AB60" i="20"/>
  <c r="X58" i="32" s="1"/>
  <c r="AA60" i="20"/>
  <c r="W58" i="32" s="1"/>
  <c r="Z60" i="20"/>
  <c r="V58" i="32" s="1"/>
  <c r="Y60" i="20"/>
  <c r="U58" i="32" s="1"/>
  <c r="X60" i="20"/>
  <c r="T58" i="32" s="1"/>
  <c r="W60" i="20"/>
  <c r="S58" i="32" s="1"/>
  <c r="V60" i="20"/>
  <c r="R58" i="32" s="1"/>
  <c r="U60" i="20"/>
  <c r="Q58" i="32" s="1"/>
  <c r="Q60" i="20"/>
  <c r="M58" i="32" s="1"/>
  <c r="P60" i="20"/>
  <c r="L58" i="32" s="1"/>
  <c r="O60" i="20"/>
  <c r="K58" i="32" s="1"/>
  <c r="J60" i="20"/>
  <c r="I58" i="32" s="1"/>
  <c r="I60" i="20"/>
  <c r="H58" i="32" s="1"/>
  <c r="H60" i="20"/>
  <c r="J58" i="32" s="1"/>
  <c r="G60" i="20"/>
  <c r="G58" i="32" s="1"/>
  <c r="F60" i="20"/>
  <c r="F58" i="32" s="1"/>
  <c r="D58" i="32"/>
  <c r="C58" i="32"/>
  <c r="B58" i="32"/>
  <c r="AB59" i="20"/>
  <c r="X57" i="32" s="1"/>
  <c r="AA59" i="20"/>
  <c r="W57" i="32" s="1"/>
  <c r="Z59" i="20"/>
  <c r="V57" i="32" s="1"/>
  <c r="Y59" i="20"/>
  <c r="U57" i="32" s="1"/>
  <c r="X59" i="20"/>
  <c r="T57" i="32" s="1"/>
  <c r="W59" i="20"/>
  <c r="S57" i="32" s="1"/>
  <c r="V59" i="20"/>
  <c r="R57" i="32" s="1"/>
  <c r="U59" i="20"/>
  <c r="Q57" i="32" s="1"/>
  <c r="Q59" i="20"/>
  <c r="M57" i="32" s="1"/>
  <c r="P59" i="20"/>
  <c r="L57" i="32" s="1"/>
  <c r="O59" i="20"/>
  <c r="K57" i="32" s="1"/>
  <c r="J59" i="20"/>
  <c r="I57" i="32" s="1"/>
  <c r="I59" i="20"/>
  <c r="H57" i="32" s="1"/>
  <c r="H59" i="20"/>
  <c r="J57" i="32" s="1"/>
  <c r="G59" i="20"/>
  <c r="F59" i="20"/>
  <c r="F57" i="32" s="1"/>
  <c r="E57" i="32"/>
  <c r="D57" i="32"/>
  <c r="C57" i="32"/>
  <c r="B57" i="32"/>
  <c r="AB58" i="20"/>
  <c r="X56" i="32" s="1"/>
  <c r="AA58" i="20"/>
  <c r="W56" i="32" s="1"/>
  <c r="Z58" i="20"/>
  <c r="V56" i="32" s="1"/>
  <c r="Y58" i="20"/>
  <c r="U56" i="32" s="1"/>
  <c r="X58" i="20"/>
  <c r="T56" i="32" s="1"/>
  <c r="W58" i="20"/>
  <c r="S56" i="32" s="1"/>
  <c r="V58" i="20"/>
  <c r="R56" i="32" s="1"/>
  <c r="U58" i="20"/>
  <c r="Q56" i="32" s="1"/>
  <c r="Q58" i="20"/>
  <c r="M56" i="32" s="1"/>
  <c r="P58" i="20"/>
  <c r="L56" i="32" s="1"/>
  <c r="O58" i="20"/>
  <c r="K56" i="32" s="1"/>
  <c r="J58" i="20"/>
  <c r="I56" i="32" s="1"/>
  <c r="I58" i="20"/>
  <c r="H56" i="32" s="1"/>
  <c r="H58" i="20"/>
  <c r="J56" i="32" s="1"/>
  <c r="G58" i="20"/>
  <c r="G56" i="32" s="1"/>
  <c r="F58" i="20"/>
  <c r="F56" i="32" s="1"/>
  <c r="D56" i="32"/>
  <c r="C56" i="32"/>
  <c r="B56" i="32"/>
  <c r="AB57" i="20"/>
  <c r="X55" i="32" s="1"/>
  <c r="AA57" i="20"/>
  <c r="W55" i="32" s="1"/>
  <c r="Z57" i="20"/>
  <c r="V55" i="32" s="1"/>
  <c r="Y57" i="20"/>
  <c r="U55" i="32" s="1"/>
  <c r="X57" i="20"/>
  <c r="T55" i="32" s="1"/>
  <c r="W57" i="20"/>
  <c r="S55" i="32" s="1"/>
  <c r="V57" i="20"/>
  <c r="R55" i="32" s="1"/>
  <c r="U57" i="20"/>
  <c r="Q55" i="32" s="1"/>
  <c r="Q57" i="20"/>
  <c r="M55" i="32" s="1"/>
  <c r="P57" i="20"/>
  <c r="L55" i="32" s="1"/>
  <c r="O57" i="20"/>
  <c r="K55" i="32" s="1"/>
  <c r="J57" i="20"/>
  <c r="I55" i="32" s="1"/>
  <c r="I57" i="20"/>
  <c r="H55" i="32" s="1"/>
  <c r="H57" i="20"/>
  <c r="J55" i="32" s="1"/>
  <c r="G57" i="20"/>
  <c r="G55" i="32" s="1"/>
  <c r="F57" i="20"/>
  <c r="F55" i="32" s="1"/>
  <c r="D55" i="32"/>
  <c r="C55" i="32"/>
  <c r="B55" i="32"/>
  <c r="AB56" i="20"/>
  <c r="X54" i="32" s="1"/>
  <c r="AA56" i="20"/>
  <c r="W54" i="32" s="1"/>
  <c r="Z56" i="20"/>
  <c r="V54" i="32" s="1"/>
  <c r="Y56" i="20"/>
  <c r="U54" i="32" s="1"/>
  <c r="X56" i="20"/>
  <c r="T54" i="32" s="1"/>
  <c r="W56" i="20"/>
  <c r="S54" i="32" s="1"/>
  <c r="V56" i="20"/>
  <c r="R54" i="32" s="1"/>
  <c r="U56" i="20"/>
  <c r="Q54" i="32" s="1"/>
  <c r="Q56" i="20"/>
  <c r="M54" i="32" s="1"/>
  <c r="P56" i="20"/>
  <c r="L54" i="32" s="1"/>
  <c r="O56" i="20"/>
  <c r="K54" i="32" s="1"/>
  <c r="J56" i="20"/>
  <c r="I54" i="32" s="1"/>
  <c r="I56" i="20"/>
  <c r="H54" i="32" s="1"/>
  <c r="H56" i="20"/>
  <c r="J54" i="32" s="1"/>
  <c r="G56" i="20"/>
  <c r="G54" i="32" s="1"/>
  <c r="F56" i="20"/>
  <c r="F54" i="32" s="1"/>
  <c r="D54" i="32"/>
  <c r="C54" i="32"/>
  <c r="B54" i="32"/>
  <c r="AB55" i="20"/>
  <c r="X53" i="32" s="1"/>
  <c r="AA55" i="20"/>
  <c r="W53" i="32" s="1"/>
  <c r="Z55" i="20"/>
  <c r="V53" i="32" s="1"/>
  <c r="Y55" i="20"/>
  <c r="U53" i="32" s="1"/>
  <c r="X55" i="20"/>
  <c r="T53" i="32" s="1"/>
  <c r="W55" i="20"/>
  <c r="S53" i="32" s="1"/>
  <c r="V55" i="20"/>
  <c r="R53" i="32" s="1"/>
  <c r="U55" i="20"/>
  <c r="Q53" i="32" s="1"/>
  <c r="Q55" i="20"/>
  <c r="M53" i="32" s="1"/>
  <c r="P55" i="20"/>
  <c r="L53" i="32" s="1"/>
  <c r="O55" i="20"/>
  <c r="K53" i="32" s="1"/>
  <c r="J55" i="20"/>
  <c r="I53" i="32" s="1"/>
  <c r="I55" i="20"/>
  <c r="H53" i="32" s="1"/>
  <c r="H55" i="20"/>
  <c r="J53" i="32" s="1"/>
  <c r="G55" i="20"/>
  <c r="G53" i="32" s="1"/>
  <c r="F55" i="20"/>
  <c r="F53" i="32" s="1"/>
  <c r="D53" i="32"/>
  <c r="C53" i="32"/>
  <c r="B53" i="32"/>
  <c r="AB54" i="20"/>
  <c r="X52" i="32" s="1"/>
  <c r="AA54" i="20"/>
  <c r="W52" i="32" s="1"/>
  <c r="Z54" i="20"/>
  <c r="V52" i="32" s="1"/>
  <c r="Y54" i="20"/>
  <c r="U52" i="32" s="1"/>
  <c r="X54" i="20"/>
  <c r="T52" i="32" s="1"/>
  <c r="W54" i="20"/>
  <c r="S52" i="32" s="1"/>
  <c r="V54" i="20"/>
  <c r="R52" i="32" s="1"/>
  <c r="U54" i="20"/>
  <c r="Q52" i="32" s="1"/>
  <c r="Q54" i="20"/>
  <c r="M52" i="32" s="1"/>
  <c r="P54" i="20"/>
  <c r="L52" i="32" s="1"/>
  <c r="O54" i="20"/>
  <c r="K52" i="32" s="1"/>
  <c r="J54" i="20"/>
  <c r="I52" i="32" s="1"/>
  <c r="I54" i="20"/>
  <c r="H52" i="32" s="1"/>
  <c r="H54" i="20"/>
  <c r="J52" i="32" s="1"/>
  <c r="G54" i="20"/>
  <c r="G52" i="32" s="1"/>
  <c r="F54" i="20"/>
  <c r="F52" i="32" s="1"/>
  <c r="D52" i="32"/>
  <c r="C52" i="32"/>
  <c r="B52" i="32"/>
  <c r="AB53" i="20"/>
  <c r="X51" i="32" s="1"/>
  <c r="AA53" i="20"/>
  <c r="W51" i="32" s="1"/>
  <c r="Z53" i="20"/>
  <c r="V51" i="32" s="1"/>
  <c r="Y53" i="20"/>
  <c r="U51" i="32" s="1"/>
  <c r="X53" i="20"/>
  <c r="T51" i="32" s="1"/>
  <c r="W53" i="20"/>
  <c r="S51" i="32" s="1"/>
  <c r="V53" i="20"/>
  <c r="R51" i="32" s="1"/>
  <c r="U53" i="20"/>
  <c r="Q51" i="32" s="1"/>
  <c r="Q53" i="20"/>
  <c r="M51" i="32" s="1"/>
  <c r="P53" i="20"/>
  <c r="L51" i="32" s="1"/>
  <c r="O53" i="20"/>
  <c r="K51" i="32" s="1"/>
  <c r="J53" i="20"/>
  <c r="I51" i="32" s="1"/>
  <c r="I53" i="20"/>
  <c r="H51" i="32" s="1"/>
  <c r="H53" i="20"/>
  <c r="J51" i="32" s="1"/>
  <c r="G53" i="20"/>
  <c r="G51" i="32" s="1"/>
  <c r="F53" i="20"/>
  <c r="F51" i="32" s="1"/>
  <c r="D51" i="32"/>
  <c r="C51" i="32"/>
  <c r="B51" i="32"/>
  <c r="AB52" i="20"/>
  <c r="X50" i="32" s="1"/>
  <c r="AA52" i="20"/>
  <c r="W50" i="32" s="1"/>
  <c r="Z52" i="20"/>
  <c r="V50" i="32" s="1"/>
  <c r="Y52" i="20"/>
  <c r="U50" i="32" s="1"/>
  <c r="X52" i="20"/>
  <c r="T50" i="32" s="1"/>
  <c r="W52" i="20"/>
  <c r="S50" i="32" s="1"/>
  <c r="V52" i="20"/>
  <c r="R50" i="32" s="1"/>
  <c r="U52" i="20"/>
  <c r="Q50" i="32" s="1"/>
  <c r="Q52" i="20"/>
  <c r="M50" i="32" s="1"/>
  <c r="P52" i="20"/>
  <c r="L50" i="32" s="1"/>
  <c r="O52" i="20"/>
  <c r="K50" i="32" s="1"/>
  <c r="J52" i="20"/>
  <c r="I50" i="32" s="1"/>
  <c r="I52" i="20"/>
  <c r="H50" i="32" s="1"/>
  <c r="H52" i="20"/>
  <c r="J50" i="32" s="1"/>
  <c r="G52" i="20"/>
  <c r="G50" i="32" s="1"/>
  <c r="F52" i="20"/>
  <c r="F50" i="32" s="1"/>
  <c r="D50" i="32"/>
  <c r="C50" i="32"/>
  <c r="B50" i="32"/>
  <c r="AB51" i="20"/>
  <c r="X49" i="32" s="1"/>
  <c r="AA51" i="20"/>
  <c r="W49" i="32" s="1"/>
  <c r="Z51" i="20"/>
  <c r="V49" i="32" s="1"/>
  <c r="Y51" i="20"/>
  <c r="U49" i="32" s="1"/>
  <c r="X51" i="20"/>
  <c r="T49" i="32" s="1"/>
  <c r="W51" i="20"/>
  <c r="S49" i="32" s="1"/>
  <c r="V51" i="20"/>
  <c r="R49" i="32" s="1"/>
  <c r="U51" i="20"/>
  <c r="Q49" i="32" s="1"/>
  <c r="Q51" i="20"/>
  <c r="M49" i="32" s="1"/>
  <c r="P51" i="20"/>
  <c r="L49" i="32" s="1"/>
  <c r="O51" i="20"/>
  <c r="K49" i="32" s="1"/>
  <c r="J51" i="20"/>
  <c r="I49" i="32" s="1"/>
  <c r="I51" i="20"/>
  <c r="H49" i="32" s="1"/>
  <c r="H51" i="20"/>
  <c r="J49" i="32" s="1"/>
  <c r="G51" i="20"/>
  <c r="G49" i="32" s="1"/>
  <c r="F51" i="20"/>
  <c r="F49" i="32" s="1"/>
  <c r="E49" i="32"/>
  <c r="D49" i="32"/>
  <c r="C49" i="32"/>
  <c r="B49" i="32"/>
  <c r="AB50" i="20"/>
  <c r="X48" i="32" s="1"/>
  <c r="AA50" i="20"/>
  <c r="W48" i="32" s="1"/>
  <c r="Z50" i="20"/>
  <c r="V48" i="32" s="1"/>
  <c r="Y50" i="20"/>
  <c r="U48" i="32" s="1"/>
  <c r="X50" i="20"/>
  <c r="T48" i="32" s="1"/>
  <c r="W50" i="20"/>
  <c r="S48" i="32" s="1"/>
  <c r="V50" i="20"/>
  <c r="R48" i="32" s="1"/>
  <c r="U50" i="20"/>
  <c r="Q48" i="32" s="1"/>
  <c r="Q50" i="20"/>
  <c r="M48" i="32" s="1"/>
  <c r="P50" i="20"/>
  <c r="L48" i="32" s="1"/>
  <c r="O50" i="20"/>
  <c r="K48" i="32" s="1"/>
  <c r="J50" i="20"/>
  <c r="I48" i="32" s="1"/>
  <c r="I50" i="20"/>
  <c r="H48" i="32" s="1"/>
  <c r="H50" i="20"/>
  <c r="J48" i="32" s="1"/>
  <c r="G50" i="20"/>
  <c r="G48" i="32" s="1"/>
  <c r="F50" i="20"/>
  <c r="F48" i="32" s="1"/>
  <c r="E48" i="32"/>
  <c r="D48" i="32"/>
  <c r="C48" i="32"/>
  <c r="B48" i="32"/>
  <c r="AB49" i="20"/>
  <c r="X47" i="32" s="1"/>
  <c r="AA49" i="20"/>
  <c r="W47" i="32" s="1"/>
  <c r="Z49" i="20"/>
  <c r="V47" i="32" s="1"/>
  <c r="Y49" i="20"/>
  <c r="U47" i="32" s="1"/>
  <c r="X49" i="20"/>
  <c r="T47" i="32" s="1"/>
  <c r="W49" i="20"/>
  <c r="S47" i="32" s="1"/>
  <c r="V49" i="20"/>
  <c r="R47" i="32" s="1"/>
  <c r="U49" i="20"/>
  <c r="Q47" i="32" s="1"/>
  <c r="Q49" i="20"/>
  <c r="M47" i="32" s="1"/>
  <c r="P49" i="20"/>
  <c r="L47" i="32" s="1"/>
  <c r="O49" i="20"/>
  <c r="K47" i="32" s="1"/>
  <c r="J49" i="20"/>
  <c r="I47" i="32" s="1"/>
  <c r="I49" i="20"/>
  <c r="H47" i="32" s="1"/>
  <c r="H49" i="20"/>
  <c r="J47" i="32" s="1"/>
  <c r="G49" i="20"/>
  <c r="G47" i="32" s="1"/>
  <c r="F49" i="20"/>
  <c r="F47" i="32" s="1"/>
  <c r="D47" i="32"/>
  <c r="C47" i="32"/>
  <c r="B47" i="32"/>
  <c r="AB48" i="20"/>
  <c r="X46" i="32" s="1"/>
  <c r="AA48" i="20"/>
  <c r="W46" i="32" s="1"/>
  <c r="Z48" i="20"/>
  <c r="V46" i="32" s="1"/>
  <c r="Y48" i="20"/>
  <c r="U46" i="32" s="1"/>
  <c r="X48" i="20"/>
  <c r="T46" i="32" s="1"/>
  <c r="W48" i="20"/>
  <c r="S46" i="32" s="1"/>
  <c r="V48" i="20"/>
  <c r="R46" i="32" s="1"/>
  <c r="U48" i="20"/>
  <c r="Q46" i="32" s="1"/>
  <c r="Q48" i="20"/>
  <c r="M46" i="32" s="1"/>
  <c r="P48" i="20"/>
  <c r="L46" i="32" s="1"/>
  <c r="O48" i="20"/>
  <c r="K46" i="32" s="1"/>
  <c r="J48" i="20"/>
  <c r="I46" i="32" s="1"/>
  <c r="I48" i="20"/>
  <c r="H46" i="32" s="1"/>
  <c r="H48" i="20"/>
  <c r="J46" i="32" s="1"/>
  <c r="G48" i="20"/>
  <c r="G46" i="32" s="1"/>
  <c r="F48" i="20"/>
  <c r="F46" i="32" s="1"/>
  <c r="D46" i="32"/>
  <c r="C46" i="32"/>
  <c r="B46" i="32"/>
  <c r="AB47" i="20"/>
  <c r="X45" i="32" s="1"/>
  <c r="AA47" i="20"/>
  <c r="W45" i="32" s="1"/>
  <c r="Z47" i="20"/>
  <c r="V45" i="32" s="1"/>
  <c r="Y47" i="20"/>
  <c r="U45" i="32" s="1"/>
  <c r="X47" i="20"/>
  <c r="T45" i="32" s="1"/>
  <c r="W47" i="20"/>
  <c r="S45" i="32" s="1"/>
  <c r="V47" i="20"/>
  <c r="R45" i="32" s="1"/>
  <c r="U47" i="20"/>
  <c r="Q45" i="32" s="1"/>
  <c r="Q47" i="20"/>
  <c r="M45" i="32" s="1"/>
  <c r="P47" i="20"/>
  <c r="L45" i="32" s="1"/>
  <c r="O47" i="20"/>
  <c r="K45" i="32" s="1"/>
  <c r="J47" i="20"/>
  <c r="I45" i="32" s="1"/>
  <c r="I47" i="20"/>
  <c r="H45" i="32" s="1"/>
  <c r="H47" i="20"/>
  <c r="J45" i="32" s="1"/>
  <c r="G47" i="20"/>
  <c r="G45" i="32" s="1"/>
  <c r="F47" i="20"/>
  <c r="F45" i="32" s="1"/>
  <c r="D45" i="32"/>
  <c r="C45" i="32"/>
  <c r="B45" i="32"/>
  <c r="AB46" i="20"/>
  <c r="X44" i="32" s="1"/>
  <c r="AA46" i="20"/>
  <c r="W44" i="32" s="1"/>
  <c r="Z46" i="20"/>
  <c r="V44" i="32" s="1"/>
  <c r="Y46" i="20"/>
  <c r="U44" i="32" s="1"/>
  <c r="X46" i="20"/>
  <c r="T44" i="32" s="1"/>
  <c r="W46" i="20"/>
  <c r="S44" i="32" s="1"/>
  <c r="V46" i="20"/>
  <c r="R44" i="32" s="1"/>
  <c r="U46" i="20"/>
  <c r="Q44" i="32" s="1"/>
  <c r="Q46" i="20"/>
  <c r="M44" i="32" s="1"/>
  <c r="P46" i="20"/>
  <c r="L44" i="32" s="1"/>
  <c r="K44" i="32"/>
  <c r="J46" i="20"/>
  <c r="I44" i="32" s="1"/>
  <c r="I46" i="20"/>
  <c r="H44" i="32" s="1"/>
  <c r="H46" i="20"/>
  <c r="J44" i="32" s="1"/>
  <c r="G46" i="20"/>
  <c r="G44" i="32" s="1"/>
  <c r="F46" i="20"/>
  <c r="F44" i="32" s="1"/>
  <c r="D44" i="32"/>
  <c r="C44" i="32"/>
  <c r="B44" i="32"/>
  <c r="AB45" i="20"/>
  <c r="X43" i="32" s="1"/>
  <c r="AA45" i="20"/>
  <c r="W43" i="32" s="1"/>
  <c r="Z45" i="20"/>
  <c r="V43" i="32" s="1"/>
  <c r="Y45" i="20"/>
  <c r="U43" i="32" s="1"/>
  <c r="X45" i="20"/>
  <c r="T43" i="32" s="1"/>
  <c r="W45" i="20"/>
  <c r="S43" i="32" s="1"/>
  <c r="V45" i="20"/>
  <c r="R43" i="32" s="1"/>
  <c r="U45" i="20"/>
  <c r="Q43" i="32" s="1"/>
  <c r="Q45" i="20"/>
  <c r="M43" i="32" s="1"/>
  <c r="P45" i="20"/>
  <c r="L43" i="32" s="1"/>
  <c r="O45" i="20"/>
  <c r="K43" i="32" s="1"/>
  <c r="J45" i="20"/>
  <c r="I43" i="32" s="1"/>
  <c r="I45" i="20"/>
  <c r="H43" i="32" s="1"/>
  <c r="H45" i="20"/>
  <c r="J43" i="32" s="1"/>
  <c r="G45" i="20"/>
  <c r="G43" i="32" s="1"/>
  <c r="F45" i="20"/>
  <c r="F43" i="32" s="1"/>
  <c r="D43" i="32"/>
  <c r="C43" i="32"/>
  <c r="B43" i="32"/>
  <c r="AB44" i="20"/>
  <c r="X42" i="32" s="1"/>
  <c r="AA44" i="20"/>
  <c r="W42" i="32" s="1"/>
  <c r="Z44" i="20"/>
  <c r="V42" i="32" s="1"/>
  <c r="Y44" i="20"/>
  <c r="U42" i="32" s="1"/>
  <c r="X44" i="20"/>
  <c r="T42" i="32" s="1"/>
  <c r="W44" i="20"/>
  <c r="S42" i="32" s="1"/>
  <c r="V44" i="20"/>
  <c r="R42" i="32" s="1"/>
  <c r="U44" i="20"/>
  <c r="Q42" i="32" s="1"/>
  <c r="Q44" i="20"/>
  <c r="M42" i="32" s="1"/>
  <c r="P44" i="20"/>
  <c r="L42" i="32" s="1"/>
  <c r="O44" i="20"/>
  <c r="K42" i="32" s="1"/>
  <c r="J44" i="20"/>
  <c r="I42" i="32" s="1"/>
  <c r="I44" i="20"/>
  <c r="H42" i="32" s="1"/>
  <c r="H44" i="20"/>
  <c r="J42" i="32" s="1"/>
  <c r="G44" i="20"/>
  <c r="G42" i="32" s="1"/>
  <c r="F44" i="20"/>
  <c r="F42" i="32" s="1"/>
  <c r="D42" i="32"/>
  <c r="C42" i="32"/>
  <c r="B42" i="32"/>
  <c r="AB43" i="20"/>
  <c r="X41" i="32" s="1"/>
  <c r="AA43" i="20"/>
  <c r="W41" i="32" s="1"/>
  <c r="Z43" i="20"/>
  <c r="V41" i="32" s="1"/>
  <c r="Y43" i="20"/>
  <c r="U41" i="32" s="1"/>
  <c r="X43" i="20"/>
  <c r="T41" i="32" s="1"/>
  <c r="W43" i="20"/>
  <c r="S41" i="32" s="1"/>
  <c r="V43" i="20"/>
  <c r="R41" i="32" s="1"/>
  <c r="U43" i="20"/>
  <c r="Q41" i="32" s="1"/>
  <c r="Q43" i="20"/>
  <c r="M41" i="32" s="1"/>
  <c r="P43" i="20"/>
  <c r="L41" i="32" s="1"/>
  <c r="O43" i="20"/>
  <c r="K41" i="32" s="1"/>
  <c r="J43" i="20"/>
  <c r="I41" i="32" s="1"/>
  <c r="I43" i="20"/>
  <c r="H41" i="32" s="1"/>
  <c r="H43" i="20"/>
  <c r="J41" i="32" s="1"/>
  <c r="G43" i="20"/>
  <c r="G41" i="32" s="1"/>
  <c r="F43" i="20"/>
  <c r="F41" i="32" s="1"/>
  <c r="E41" i="32"/>
  <c r="D41" i="32"/>
  <c r="C41" i="32"/>
  <c r="B41" i="32"/>
  <c r="AB42" i="20"/>
  <c r="X40" i="32" s="1"/>
  <c r="AA42" i="20"/>
  <c r="W40" i="32" s="1"/>
  <c r="Z42" i="20"/>
  <c r="V40" i="32" s="1"/>
  <c r="Y42" i="20"/>
  <c r="U40" i="32" s="1"/>
  <c r="X42" i="20"/>
  <c r="T40" i="32" s="1"/>
  <c r="W42" i="20"/>
  <c r="S40" i="32" s="1"/>
  <c r="V42" i="20"/>
  <c r="R40" i="32" s="1"/>
  <c r="U42" i="20"/>
  <c r="Q40" i="32" s="1"/>
  <c r="Q42" i="20"/>
  <c r="M40" i="32" s="1"/>
  <c r="P42" i="20"/>
  <c r="L40" i="32" s="1"/>
  <c r="O42" i="20"/>
  <c r="K40" i="32" s="1"/>
  <c r="J42" i="20"/>
  <c r="I40" i="32" s="1"/>
  <c r="I42" i="20"/>
  <c r="H40" i="32" s="1"/>
  <c r="H42" i="20"/>
  <c r="J40" i="32" s="1"/>
  <c r="G42" i="20"/>
  <c r="G40" i="32" s="1"/>
  <c r="F42" i="20"/>
  <c r="F40" i="32" s="1"/>
  <c r="E40" i="32"/>
  <c r="D40" i="32"/>
  <c r="C40" i="32"/>
  <c r="B40" i="32"/>
  <c r="AB41" i="20"/>
  <c r="X39" i="32" s="1"/>
  <c r="AA41" i="20"/>
  <c r="W39" i="32" s="1"/>
  <c r="Z41" i="20"/>
  <c r="V39" i="32" s="1"/>
  <c r="Y41" i="20"/>
  <c r="U39" i="32" s="1"/>
  <c r="X41" i="20"/>
  <c r="T39" i="32" s="1"/>
  <c r="W41" i="20"/>
  <c r="S39" i="32" s="1"/>
  <c r="V41" i="20"/>
  <c r="R39" i="32" s="1"/>
  <c r="U41" i="20"/>
  <c r="Q39" i="32" s="1"/>
  <c r="Q41" i="20"/>
  <c r="M39" i="32" s="1"/>
  <c r="P41" i="20"/>
  <c r="L39" i="32" s="1"/>
  <c r="O41" i="20"/>
  <c r="K39" i="32" s="1"/>
  <c r="J41" i="20"/>
  <c r="I39" i="32" s="1"/>
  <c r="I41" i="20"/>
  <c r="H39" i="32" s="1"/>
  <c r="H41" i="20"/>
  <c r="J39" i="32" s="1"/>
  <c r="G41" i="20"/>
  <c r="G39" i="32" s="1"/>
  <c r="F41" i="20"/>
  <c r="F39" i="32" s="1"/>
  <c r="D39" i="32"/>
  <c r="C39" i="32"/>
  <c r="B39" i="32"/>
  <c r="AB40" i="20"/>
  <c r="X38" i="32" s="1"/>
  <c r="AA40" i="20"/>
  <c r="W38" i="32" s="1"/>
  <c r="Z40" i="20"/>
  <c r="V38" i="32" s="1"/>
  <c r="Y40" i="20"/>
  <c r="U38" i="32" s="1"/>
  <c r="X40" i="20"/>
  <c r="T38" i="32" s="1"/>
  <c r="W40" i="20"/>
  <c r="S38" i="32" s="1"/>
  <c r="V40" i="20"/>
  <c r="R38" i="32" s="1"/>
  <c r="U40" i="20"/>
  <c r="Q38" i="32" s="1"/>
  <c r="Q40" i="20"/>
  <c r="M38" i="32" s="1"/>
  <c r="P40" i="20"/>
  <c r="L38" i="32" s="1"/>
  <c r="K38" i="32"/>
  <c r="J40" i="20"/>
  <c r="I38" i="32" s="1"/>
  <c r="I40" i="20"/>
  <c r="H38" i="32" s="1"/>
  <c r="H40" i="20"/>
  <c r="J38" i="32" s="1"/>
  <c r="G40" i="20"/>
  <c r="G38" i="32" s="1"/>
  <c r="F40" i="20"/>
  <c r="F38" i="32" s="1"/>
  <c r="E38" i="32"/>
  <c r="D38" i="32"/>
  <c r="C38" i="32"/>
  <c r="B38" i="32"/>
  <c r="AB39" i="20"/>
  <c r="X37" i="32" s="1"/>
  <c r="AA39" i="20"/>
  <c r="W37" i="32" s="1"/>
  <c r="Z39" i="20"/>
  <c r="V37" i="32" s="1"/>
  <c r="Y39" i="20"/>
  <c r="U37" i="32" s="1"/>
  <c r="X39" i="20"/>
  <c r="T37" i="32" s="1"/>
  <c r="W39" i="20"/>
  <c r="S37" i="32" s="1"/>
  <c r="V39" i="20"/>
  <c r="R37" i="32" s="1"/>
  <c r="U39" i="20"/>
  <c r="Q37" i="32" s="1"/>
  <c r="Q39" i="20"/>
  <c r="M37" i="32" s="1"/>
  <c r="P39" i="20"/>
  <c r="L37" i="32" s="1"/>
  <c r="O39" i="20"/>
  <c r="K37" i="32" s="1"/>
  <c r="J39" i="20"/>
  <c r="I37" i="32" s="1"/>
  <c r="I39" i="20"/>
  <c r="H37" i="32" s="1"/>
  <c r="H39" i="20"/>
  <c r="J37" i="32" s="1"/>
  <c r="G39" i="20"/>
  <c r="G37" i="32" s="1"/>
  <c r="F39" i="20"/>
  <c r="F37" i="32" s="1"/>
  <c r="E37" i="32"/>
  <c r="C37" i="32"/>
  <c r="B37" i="32"/>
  <c r="AB38" i="20"/>
  <c r="X36" i="32" s="1"/>
  <c r="AA38" i="20"/>
  <c r="W36" i="32" s="1"/>
  <c r="Z38" i="20"/>
  <c r="V36" i="32" s="1"/>
  <c r="Y38" i="20"/>
  <c r="U36" i="32" s="1"/>
  <c r="X38" i="20"/>
  <c r="T36" i="32" s="1"/>
  <c r="W38" i="20"/>
  <c r="S36" i="32" s="1"/>
  <c r="V38" i="20"/>
  <c r="R36" i="32" s="1"/>
  <c r="U38" i="20"/>
  <c r="Q36" i="32" s="1"/>
  <c r="Q38" i="20"/>
  <c r="M36" i="32" s="1"/>
  <c r="P38" i="20"/>
  <c r="L36" i="32" s="1"/>
  <c r="O38" i="20"/>
  <c r="K36" i="32" s="1"/>
  <c r="J38" i="20"/>
  <c r="I36" i="32" s="1"/>
  <c r="I38" i="20"/>
  <c r="H36" i="32" s="1"/>
  <c r="H38" i="20"/>
  <c r="J36" i="32" s="1"/>
  <c r="G38" i="20"/>
  <c r="G36" i="32" s="1"/>
  <c r="F38" i="20"/>
  <c r="F36" i="32" s="1"/>
  <c r="E36" i="32"/>
  <c r="D36" i="32"/>
  <c r="C36" i="32"/>
  <c r="AB37" i="20"/>
  <c r="X35" i="32" s="1"/>
  <c r="AA37" i="20"/>
  <c r="W35" i="32" s="1"/>
  <c r="Z37" i="20"/>
  <c r="V35" i="32" s="1"/>
  <c r="Y37" i="20"/>
  <c r="U35" i="32" s="1"/>
  <c r="X37" i="20"/>
  <c r="T35" i="32" s="1"/>
  <c r="W37" i="20"/>
  <c r="S35" i="32" s="1"/>
  <c r="V37" i="20"/>
  <c r="R35" i="32" s="1"/>
  <c r="U37" i="20"/>
  <c r="Q35" i="32" s="1"/>
  <c r="J37" i="20"/>
  <c r="I35" i="32" s="1"/>
  <c r="I37" i="20"/>
  <c r="H35" i="32" s="1"/>
  <c r="H37" i="20"/>
  <c r="J35" i="32" s="1"/>
  <c r="G37" i="20"/>
  <c r="G35" i="32" s="1"/>
  <c r="F37" i="20"/>
  <c r="F35" i="32" s="1"/>
  <c r="E35" i="32"/>
  <c r="D35" i="32"/>
  <c r="C35" i="32"/>
  <c r="B35" i="32"/>
  <c r="AB36" i="20"/>
  <c r="X34" i="32" s="1"/>
  <c r="AA36" i="20"/>
  <c r="W34" i="32" s="1"/>
  <c r="Z36" i="20"/>
  <c r="V34" i="32" s="1"/>
  <c r="Y36" i="20"/>
  <c r="U34" i="32" s="1"/>
  <c r="X36" i="20"/>
  <c r="T34" i="32" s="1"/>
  <c r="W36" i="20"/>
  <c r="S34" i="32" s="1"/>
  <c r="V36" i="20"/>
  <c r="R34" i="32" s="1"/>
  <c r="U36" i="20"/>
  <c r="Q34" i="32" s="1"/>
  <c r="Q36" i="20"/>
  <c r="M34" i="32" s="1"/>
  <c r="P36" i="20"/>
  <c r="L34" i="32" s="1"/>
  <c r="O36" i="20"/>
  <c r="K34" i="32" s="1"/>
  <c r="J36" i="20"/>
  <c r="I34" i="32" s="1"/>
  <c r="I36" i="20"/>
  <c r="H34" i="32" s="1"/>
  <c r="H36" i="20"/>
  <c r="J34" i="32" s="1"/>
  <c r="G36" i="20"/>
  <c r="G34" i="32" s="1"/>
  <c r="F36" i="20"/>
  <c r="F34" i="32" s="1"/>
  <c r="E34" i="32"/>
  <c r="D34" i="32"/>
  <c r="C34" i="32"/>
  <c r="B34" i="32"/>
  <c r="AB35" i="20"/>
  <c r="X33" i="32" s="1"/>
  <c r="AA35" i="20"/>
  <c r="W33" i="32" s="1"/>
  <c r="Z35" i="20"/>
  <c r="V33" i="32" s="1"/>
  <c r="Y35" i="20"/>
  <c r="U33" i="32" s="1"/>
  <c r="X35" i="20"/>
  <c r="T33" i="32" s="1"/>
  <c r="W35" i="20"/>
  <c r="S33" i="32" s="1"/>
  <c r="V35" i="20"/>
  <c r="R33" i="32" s="1"/>
  <c r="U35" i="20"/>
  <c r="Q33" i="32" s="1"/>
  <c r="Q35" i="20"/>
  <c r="M33" i="32" s="1"/>
  <c r="P35" i="20"/>
  <c r="L33" i="32" s="1"/>
  <c r="O35" i="20"/>
  <c r="K33" i="32" s="1"/>
  <c r="J35" i="20"/>
  <c r="I33" i="32" s="1"/>
  <c r="I35" i="20"/>
  <c r="H33" i="32" s="1"/>
  <c r="H35" i="20"/>
  <c r="J33" i="32" s="1"/>
  <c r="G35" i="20"/>
  <c r="G33" i="32" s="1"/>
  <c r="F35" i="20"/>
  <c r="F33" i="32" s="1"/>
  <c r="E33" i="32"/>
  <c r="C33" i="32"/>
  <c r="B33" i="32"/>
  <c r="AB34" i="20"/>
  <c r="X32" i="32" s="1"/>
  <c r="AA34" i="20"/>
  <c r="W32" i="32" s="1"/>
  <c r="Z34" i="20"/>
  <c r="V32" i="32" s="1"/>
  <c r="Y34" i="20"/>
  <c r="U32" i="32" s="1"/>
  <c r="X34" i="20"/>
  <c r="T32" i="32" s="1"/>
  <c r="W34" i="20"/>
  <c r="S32" i="32" s="1"/>
  <c r="V34" i="20"/>
  <c r="R32" i="32" s="1"/>
  <c r="U34" i="20"/>
  <c r="Q32" i="32" s="1"/>
  <c r="J34" i="20"/>
  <c r="I32" i="32" s="1"/>
  <c r="I34" i="20"/>
  <c r="H32" i="32" s="1"/>
  <c r="H34" i="20"/>
  <c r="J32" i="32" s="1"/>
  <c r="G34" i="20"/>
  <c r="G32" i="32" s="1"/>
  <c r="F34" i="20"/>
  <c r="F32" i="32" s="1"/>
  <c r="E32" i="32"/>
  <c r="C32" i="32"/>
  <c r="B32" i="32"/>
  <c r="AB33" i="20"/>
  <c r="X31" i="32" s="1"/>
  <c r="AA33" i="20"/>
  <c r="W31" i="32" s="1"/>
  <c r="Z33" i="20"/>
  <c r="V31" i="32" s="1"/>
  <c r="Y33" i="20"/>
  <c r="U31" i="32" s="1"/>
  <c r="X33" i="20"/>
  <c r="T31" i="32" s="1"/>
  <c r="W33" i="20"/>
  <c r="S31" i="32" s="1"/>
  <c r="V33" i="20"/>
  <c r="R31" i="32" s="1"/>
  <c r="U33" i="20"/>
  <c r="Q31" i="32" s="1"/>
  <c r="Q33" i="20"/>
  <c r="M31" i="32" s="1"/>
  <c r="P33" i="20"/>
  <c r="L31" i="32" s="1"/>
  <c r="O33" i="20"/>
  <c r="K31" i="32" s="1"/>
  <c r="J33" i="20"/>
  <c r="I31" i="32" s="1"/>
  <c r="I33" i="20"/>
  <c r="H31" i="32" s="1"/>
  <c r="H33" i="20"/>
  <c r="J31" i="32" s="1"/>
  <c r="G33" i="20"/>
  <c r="G31" i="32" s="1"/>
  <c r="F33" i="20"/>
  <c r="F31" i="32" s="1"/>
  <c r="E31" i="32"/>
  <c r="D31" i="32"/>
  <c r="B31" i="32"/>
  <c r="AB32" i="20"/>
  <c r="X30" i="32" s="1"/>
  <c r="AA32" i="20"/>
  <c r="W30" i="32" s="1"/>
  <c r="Z32" i="20"/>
  <c r="V30" i="32" s="1"/>
  <c r="Y32" i="20"/>
  <c r="U30" i="32" s="1"/>
  <c r="X32" i="20"/>
  <c r="T30" i="32" s="1"/>
  <c r="W32" i="20"/>
  <c r="S30" i="32" s="1"/>
  <c r="V32" i="20"/>
  <c r="R30" i="32" s="1"/>
  <c r="U32" i="20"/>
  <c r="Q30" i="32" s="1"/>
  <c r="Q32" i="20"/>
  <c r="M30" i="32" s="1"/>
  <c r="P32" i="20"/>
  <c r="L30" i="32" s="1"/>
  <c r="O32" i="20"/>
  <c r="K30" i="32" s="1"/>
  <c r="J32" i="20"/>
  <c r="I30" i="32" s="1"/>
  <c r="I32" i="20"/>
  <c r="H30" i="32" s="1"/>
  <c r="H32" i="20"/>
  <c r="J30" i="32" s="1"/>
  <c r="G32" i="20"/>
  <c r="G30" i="32" s="1"/>
  <c r="F32" i="20"/>
  <c r="F30" i="32" s="1"/>
  <c r="D30" i="32"/>
  <c r="C30" i="32"/>
  <c r="B30" i="32"/>
  <c r="AB31" i="20"/>
  <c r="X29" i="32" s="1"/>
  <c r="AA31" i="20"/>
  <c r="W29" i="32" s="1"/>
  <c r="Z31" i="20"/>
  <c r="V29" i="32" s="1"/>
  <c r="Y31" i="20"/>
  <c r="U29" i="32" s="1"/>
  <c r="X31" i="20"/>
  <c r="T29" i="32" s="1"/>
  <c r="W31" i="20"/>
  <c r="S29" i="32" s="1"/>
  <c r="V31" i="20"/>
  <c r="R29" i="32" s="1"/>
  <c r="U31" i="20"/>
  <c r="Q29" i="32" s="1"/>
  <c r="Q31" i="20"/>
  <c r="M29" i="32" s="1"/>
  <c r="P31" i="20"/>
  <c r="L29" i="32" s="1"/>
  <c r="O31" i="20"/>
  <c r="K29" i="32" s="1"/>
  <c r="J31" i="20"/>
  <c r="I29" i="32" s="1"/>
  <c r="I31" i="20"/>
  <c r="H29" i="32" s="1"/>
  <c r="H31" i="20"/>
  <c r="J29" i="32" s="1"/>
  <c r="G31" i="20"/>
  <c r="F31" i="20"/>
  <c r="F29" i="32" s="1"/>
  <c r="E29" i="32"/>
  <c r="D29" i="32"/>
  <c r="C29" i="32"/>
  <c r="B29" i="32"/>
  <c r="AB30" i="20"/>
  <c r="X28" i="32" s="1"/>
  <c r="AA30" i="20"/>
  <c r="W28" i="32" s="1"/>
  <c r="Z30" i="20"/>
  <c r="V28" i="32" s="1"/>
  <c r="Y30" i="20"/>
  <c r="U28" i="32" s="1"/>
  <c r="X30" i="20"/>
  <c r="T28" i="32" s="1"/>
  <c r="W30" i="20"/>
  <c r="S28" i="32" s="1"/>
  <c r="V30" i="20"/>
  <c r="R28" i="32" s="1"/>
  <c r="U30" i="20"/>
  <c r="Q28" i="32" s="1"/>
  <c r="J30" i="20"/>
  <c r="I28" i="32" s="1"/>
  <c r="I30" i="20"/>
  <c r="H28" i="32" s="1"/>
  <c r="H30" i="20"/>
  <c r="J28" i="32" s="1"/>
  <c r="G30" i="20"/>
  <c r="G28" i="32" s="1"/>
  <c r="F30" i="20"/>
  <c r="F28" i="32" s="1"/>
  <c r="D28" i="32"/>
  <c r="B28" i="32"/>
  <c r="AB29" i="20"/>
  <c r="X27" i="32" s="1"/>
  <c r="AA29" i="20"/>
  <c r="W27" i="32" s="1"/>
  <c r="Z29" i="20"/>
  <c r="V27" i="32" s="1"/>
  <c r="Y29" i="20"/>
  <c r="U27" i="32" s="1"/>
  <c r="X29" i="20"/>
  <c r="T27" i="32" s="1"/>
  <c r="W29" i="20"/>
  <c r="S27" i="32" s="1"/>
  <c r="V29" i="20"/>
  <c r="R27" i="32" s="1"/>
  <c r="U29" i="20"/>
  <c r="Q27" i="32" s="1"/>
  <c r="Q29" i="20"/>
  <c r="M27" i="32" s="1"/>
  <c r="P29" i="20"/>
  <c r="L27" i="32" s="1"/>
  <c r="O29" i="20"/>
  <c r="K27" i="32" s="1"/>
  <c r="J29" i="20"/>
  <c r="I27" i="32" s="1"/>
  <c r="I29" i="20"/>
  <c r="H27" i="32" s="1"/>
  <c r="H29" i="20"/>
  <c r="J27" i="32" s="1"/>
  <c r="G29" i="20"/>
  <c r="G27" i="32" s="1"/>
  <c r="F29" i="20"/>
  <c r="F27" i="32" s="1"/>
  <c r="E27" i="32"/>
  <c r="B27" i="32"/>
  <c r="AB28" i="20"/>
  <c r="X26" i="32" s="1"/>
  <c r="AA28" i="20"/>
  <c r="W26" i="32" s="1"/>
  <c r="Z28" i="20"/>
  <c r="V26" i="32" s="1"/>
  <c r="Y28" i="20"/>
  <c r="U26" i="32" s="1"/>
  <c r="X28" i="20"/>
  <c r="T26" i="32" s="1"/>
  <c r="W28" i="20"/>
  <c r="S26" i="32" s="1"/>
  <c r="V28" i="20"/>
  <c r="R26" i="32" s="1"/>
  <c r="U28" i="20"/>
  <c r="Q26" i="32" s="1"/>
  <c r="Q28" i="20"/>
  <c r="M26" i="32" s="1"/>
  <c r="P28" i="20"/>
  <c r="L26" i="32" s="1"/>
  <c r="O28" i="20"/>
  <c r="K26" i="32" s="1"/>
  <c r="J28" i="20"/>
  <c r="I26" i="32" s="1"/>
  <c r="I28" i="20"/>
  <c r="H26" i="32" s="1"/>
  <c r="H28" i="20"/>
  <c r="J26" i="32" s="1"/>
  <c r="G28" i="20"/>
  <c r="G26" i="32" s="1"/>
  <c r="F28" i="20"/>
  <c r="F26" i="32" s="1"/>
  <c r="D26" i="32"/>
  <c r="C26" i="32"/>
  <c r="B26" i="32"/>
  <c r="AB27" i="20"/>
  <c r="X25" i="32" s="1"/>
  <c r="AA27" i="20"/>
  <c r="W25" i="32" s="1"/>
  <c r="Z27" i="20"/>
  <c r="V25" i="32" s="1"/>
  <c r="Y27" i="20"/>
  <c r="U25" i="32" s="1"/>
  <c r="X27" i="20"/>
  <c r="T25" i="32" s="1"/>
  <c r="W27" i="20"/>
  <c r="S25" i="32" s="1"/>
  <c r="V27" i="20"/>
  <c r="R25" i="32" s="1"/>
  <c r="U27" i="20"/>
  <c r="Q25" i="32" s="1"/>
  <c r="J27" i="20"/>
  <c r="I25" i="32" s="1"/>
  <c r="I27" i="20"/>
  <c r="H25" i="32" s="1"/>
  <c r="H27" i="20"/>
  <c r="J25" i="32" s="1"/>
  <c r="G27" i="20"/>
  <c r="F27" i="20"/>
  <c r="F25" i="32" s="1"/>
  <c r="E25" i="32"/>
  <c r="C25" i="32"/>
  <c r="B25" i="32"/>
  <c r="AB26" i="20"/>
  <c r="X24" i="32" s="1"/>
  <c r="AA26" i="20"/>
  <c r="W24" i="32" s="1"/>
  <c r="Z26" i="20"/>
  <c r="V24" i="32" s="1"/>
  <c r="Y26" i="20"/>
  <c r="U24" i="32" s="1"/>
  <c r="X26" i="20"/>
  <c r="T24" i="32" s="1"/>
  <c r="W26" i="20"/>
  <c r="S24" i="32" s="1"/>
  <c r="V26" i="20"/>
  <c r="R24" i="32" s="1"/>
  <c r="U26" i="20"/>
  <c r="Q24" i="32" s="1"/>
  <c r="Q26" i="20"/>
  <c r="M24" i="32" s="1"/>
  <c r="P26" i="20"/>
  <c r="L24" i="32" s="1"/>
  <c r="K24" i="32"/>
  <c r="J26" i="20"/>
  <c r="I24" i="32" s="1"/>
  <c r="I26" i="20"/>
  <c r="H24" i="32" s="1"/>
  <c r="H26" i="20"/>
  <c r="J24" i="32" s="1"/>
  <c r="G26" i="20"/>
  <c r="G24" i="32" s="1"/>
  <c r="F26" i="20"/>
  <c r="F24" i="32" s="1"/>
  <c r="C24" i="32"/>
  <c r="B24" i="32"/>
  <c r="AB25" i="20"/>
  <c r="X23" i="32" s="1"/>
  <c r="AA25" i="20"/>
  <c r="W23" i="32" s="1"/>
  <c r="Z25" i="20"/>
  <c r="V23" i="32" s="1"/>
  <c r="Y25" i="20"/>
  <c r="U23" i="32" s="1"/>
  <c r="X25" i="20"/>
  <c r="T23" i="32" s="1"/>
  <c r="W25" i="20"/>
  <c r="S23" i="32" s="1"/>
  <c r="V25" i="20"/>
  <c r="R23" i="32" s="1"/>
  <c r="U25" i="20"/>
  <c r="Q23" i="32" s="1"/>
  <c r="Q25" i="20"/>
  <c r="M23" i="32" s="1"/>
  <c r="P25" i="20"/>
  <c r="L23" i="32" s="1"/>
  <c r="O25" i="20"/>
  <c r="K23" i="32" s="1"/>
  <c r="J25" i="20"/>
  <c r="I23" i="32" s="1"/>
  <c r="I25" i="20"/>
  <c r="H23" i="32" s="1"/>
  <c r="H25" i="20"/>
  <c r="J23" i="32" s="1"/>
  <c r="G25" i="20"/>
  <c r="G23" i="32" s="1"/>
  <c r="F25" i="20"/>
  <c r="F23" i="32" s="1"/>
  <c r="E23" i="32"/>
  <c r="D23" i="32"/>
  <c r="B23" i="32"/>
  <c r="AB24" i="20"/>
  <c r="X22" i="32" s="1"/>
  <c r="AA24" i="20"/>
  <c r="W22" i="32" s="1"/>
  <c r="Z24" i="20"/>
  <c r="V22" i="32" s="1"/>
  <c r="Y24" i="20"/>
  <c r="U22" i="32" s="1"/>
  <c r="X24" i="20"/>
  <c r="T22" i="32" s="1"/>
  <c r="W24" i="20"/>
  <c r="S22" i="32" s="1"/>
  <c r="V24" i="20"/>
  <c r="R22" i="32" s="1"/>
  <c r="U24" i="20"/>
  <c r="Q22" i="32" s="1"/>
  <c r="Q24" i="20"/>
  <c r="M22" i="32" s="1"/>
  <c r="P24" i="20"/>
  <c r="L22" i="32" s="1"/>
  <c r="O24" i="20"/>
  <c r="K22" i="32" s="1"/>
  <c r="J24" i="20"/>
  <c r="I22" i="32" s="1"/>
  <c r="I24" i="20"/>
  <c r="H22" i="32" s="1"/>
  <c r="H24" i="20"/>
  <c r="J22" i="32" s="1"/>
  <c r="G24" i="20"/>
  <c r="G22" i="32" s="1"/>
  <c r="F24" i="20"/>
  <c r="F22" i="32" s="1"/>
  <c r="D22" i="32"/>
  <c r="C22" i="32"/>
  <c r="B22" i="32"/>
  <c r="AB23" i="20"/>
  <c r="X21" i="32" s="1"/>
  <c r="AA23" i="20"/>
  <c r="W21" i="32" s="1"/>
  <c r="Z23" i="20"/>
  <c r="V21" i="32" s="1"/>
  <c r="Y23" i="20"/>
  <c r="U21" i="32" s="1"/>
  <c r="X23" i="20"/>
  <c r="T21" i="32" s="1"/>
  <c r="W23" i="20"/>
  <c r="S21" i="32" s="1"/>
  <c r="V23" i="20"/>
  <c r="R21" i="32" s="1"/>
  <c r="U23" i="20"/>
  <c r="Q21" i="32" s="1"/>
  <c r="J23" i="20"/>
  <c r="I21" i="32" s="1"/>
  <c r="I23" i="20"/>
  <c r="H21" i="32" s="1"/>
  <c r="H23" i="20"/>
  <c r="J21" i="32" s="1"/>
  <c r="G23" i="20"/>
  <c r="F23" i="20"/>
  <c r="F21" i="32" s="1"/>
  <c r="E21" i="32"/>
  <c r="D21" i="32"/>
  <c r="C21" i="32"/>
  <c r="B21" i="32"/>
  <c r="AB22" i="20"/>
  <c r="X20" i="32" s="1"/>
  <c r="AA22" i="20"/>
  <c r="W20" i="32" s="1"/>
  <c r="Z22" i="20"/>
  <c r="V20" i="32" s="1"/>
  <c r="Y22" i="20"/>
  <c r="U20" i="32" s="1"/>
  <c r="X22" i="20"/>
  <c r="T20" i="32" s="1"/>
  <c r="W22" i="20"/>
  <c r="S20" i="32" s="1"/>
  <c r="V22" i="20"/>
  <c r="R20" i="32" s="1"/>
  <c r="U22" i="20"/>
  <c r="Q20" i="32" s="1"/>
  <c r="Q22" i="20"/>
  <c r="M20" i="32" s="1"/>
  <c r="P22" i="20"/>
  <c r="L20" i="32" s="1"/>
  <c r="O22" i="20"/>
  <c r="K20" i="32" s="1"/>
  <c r="J22" i="20"/>
  <c r="I20" i="32" s="1"/>
  <c r="I22" i="20"/>
  <c r="H20" i="32" s="1"/>
  <c r="H22" i="20"/>
  <c r="J20" i="32" s="1"/>
  <c r="G22" i="20"/>
  <c r="G20" i="32" s="1"/>
  <c r="F22" i="20"/>
  <c r="F20" i="32" s="1"/>
  <c r="D20" i="32"/>
  <c r="C20" i="32"/>
  <c r="B20" i="32"/>
  <c r="AB21" i="20"/>
  <c r="X19" i="32" s="1"/>
  <c r="AA21" i="20"/>
  <c r="W19" i="32" s="1"/>
  <c r="Z21" i="20"/>
  <c r="V19" i="32" s="1"/>
  <c r="Y21" i="20"/>
  <c r="U19" i="32" s="1"/>
  <c r="X21" i="20"/>
  <c r="T19" i="32" s="1"/>
  <c r="W21" i="20"/>
  <c r="S19" i="32" s="1"/>
  <c r="V21" i="20"/>
  <c r="R19" i="32" s="1"/>
  <c r="U21" i="20"/>
  <c r="Q19" i="32" s="1"/>
  <c r="Q21" i="20"/>
  <c r="M19" i="32" s="1"/>
  <c r="P21" i="20"/>
  <c r="L19" i="32" s="1"/>
  <c r="O21" i="20"/>
  <c r="K19" i="32" s="1"/>
  <c r="J21" i="20"/>
  <c r="I19" i="32" s="1"/>
  <c r="I21" i="20"/>
  <c r="H19" i="32" s="1"/>
  <c r="H21" i="20"/>
  <c r="J19" i="32" s="1"/>
  <c r="G21" i="20"/>
  <c r="G19" i="32" s="1"/>
  <c r="F21" i="20"/>
  <c r="F19" i="32" s="1"/>
  <c r="E19" i="32"/>
  <c r="D19" i="32"/>
  <c r="B19" i="32"/>
  <c r="AB20" i="20"/>
  <c r="X18" i="32" s="1"/>
  <c r="AA20" i="20"/>
  <c r="W18" i="32" s="1"/>
  <c r="Z20" i="20"/>
  <c r="V18" i="32" s="1"/>
  <c r="Y20" i="20"/>
  <c r="U18" i="32" s="1"/>
  <c r="X20" i="20"/>
  <c r="T18" i="32" s="1"/>
  <c r="W20" i="20"/>
  <c r="S18" i="32" s="1"/>
  <c r="V20" i="20"/>
  <c r="R18" i="32" s="1"/>
  <c r="U20" i="20"/>
  <c r="Q18" i="32" s="1"/>
  <c r="J20" i="20"/>
  <c r="I18" i="32" s="1"/>
  <c r="I20" i="20"/>
  <c r="H18" i="32" s="1"/>
  <c r="H20" i="20"/>
  <c r="J18" i="32" s="1"/>
  <c r="G20" i="20"/>
  <c r="G18" i="32" s="1"/>
  <c r="F20" i="20"/>
  <c r="F18" i="32" s="1"/>
  <c r="D18" i="32"/>
  <c r="C18" i="32"/>
  <c r="B18" i="32"/>
  <c r="AB19" i="20"/>
  <c r="X17" i="32" s="1"/>
  <c r="AA19" i="20"/>
  <c r="W17" i="32" s="1"/>
  <c r="Z19" i="20"/>
  <c r="V17" i="32" s="1"/>
  <c r="Y19" i="20"/>
  <c r="U17" i="32" s="1"/>
  <c r="X19" i="20"/>
  <c r="T17" i="32" s="1"/>
  <c r="W19" i="20"/>
  <c r="S17" i="32" s="1"/>
  <c r="V19" i="20"/>
  <c r="R17" i="32" s="1"/>
  <c r="U19" i="20"/>
  <c r="Q17" i="32" s="1"/>
  <c r="Q19" i="20"/>
  <c r="M17" i="32" s="1"/>
  <c r="P19" i="20"/>
  <c r="L17" i="32" s="1"/>
  <c r="O19" i="20"/>
  <c r="K17" i="32" s="1"/>
  <c r="J19" i="20"/>
  <c r="I17" i="32" s="1"/>
  <c r="I19" i="20"/>
  <c r="H17" i="32" s="1"/>
  <c r="H19" i="20"/>
  <c r="J17" i="32" s="1"/>
  <c r="G19" i="20"/>
  <c r="F19" i="20"/>
  <c r="F17" i="32" s="1"/>
  <c r="E17" i="32"/>
  <c r="D17" i="32"/>
  <c r="C17" i="32"/>
  <c r="B17" i="32"/>
  <c r="AB18" i="20"/>
  <c r="X16" i="32" s="1"/>
  <c r="AA18" i="20"/>
  <c r="W16" i="32" s="1"/>
  <c r="Z18" i="20"/>
  <c r="V16" i="32" s="1"/>
  <c r="Y18" i="20"/>
  <c r="U16" i="32" s="1"/>
  <c r="X18" i="20"/>
  <c r="T16" i="32" s="1"/>
  <c r="W18" i="20"/>
  <c r="S16" i="32" s="1"/>
  <c r="V18" i="20"/>
  <c r="R16" i="32" s="1"/>
  <c r="U18" i="20"/>
  <c r="Q16" i="32" s="1"/>
  <c r="Q18" i="20"/>
  <c r="M16" i="32" s="1"/>
  <c r="P18" i="20"/>
  <c r="L16" i="32" s="1"/>
  <c r="O18" i="20"/>
  <c r="K16" i="32" s="1"/>
  <c r="J18" i="20"/>
  <c r="I16" i="32" s="1"/>
  <c r="I18" i="20"/>
  <c r="H16" i="32" s="1"/>
  <c r="H18" i="20"/>
  <c r="J16" i="32" s="1"/>
  <c r="G18" i="20"/>
  <c r="G16" i="32" s="1"/>
  <c r="F18" i="20"/>
  <c r="F16" i="32" s="1"/>
  <c r="D16" i="32"/>
  <c r="C16" i="32"/>
  <c r="B16" i="32"/>
  <c r="AB17" i="20"/>
  <c r="X15" i="32" s="1"/>
  <c r="AA17" i="20"/>
  <c r="W15" i="32" s="1"/>
  <c r="Z17" i="20"/>
  <c r="V15" i="32" s="1"/>
  <c r="Y17" i="20"/>
  <c r="U15" i="32" s="1"/>
  <c r="X17" i="20"/>
  <c r="T15" i="32" s="1"/>
  <c r="W17" i="20"/>
  <c r="S15" i="32" s="1"/>
  <c r="V17" i="20"/>
  <c r="R15" i="32" s="1"/>
  <c r="U17" i="20"/>
  <c r="Q15" i="32" s="1"/>
  <c r="Q17" i="20"/>
  <c r="M15" i="32" s="1"/>
  <c r="P17" i="20"/>
  <c r="L15" i="32" s="1"/>
  <c r="O17" i="20"/>
  <c r="K15" i="32" s="1"/>
  <c r="J17" i="20"/>
  <c r="I15" i="32" s="1"/>
  <c r="I17" i="20"/>
  <c r="H15" i="32" s="1"/>
  <c r="H17" i="20"/>
  <c r="J15" i="32" s="1"/>
  <c r="G17" i="20"/>
  <c r="G15" i="32" s="1"/>
  <c r="F17" i="20"/>
  <c r="F15" i="32" s="1"/>
  <c r="E15" i="32"/>
  <c r="D15" i="32"/>
  <c r="B15" i="32"/>
  <c r="AB16" i="20"/>
  <c r="X14" i="32" s="1"/>
  <c r="AA16" i="20"/>
  <c r="W14" i="32" s="1"/>
  <c r="Z16" i="20"/>
  <c r="V14" i="32" s="1"/>
  <c r="Y16" i="20"/>
  <c r="U14" i="32" s="1"/>
  <c r="X16" i="20"/>
  <c r="T14" i="32" s="1"/>
  <c r="W16" i="20"/>
  <c r="S14" i="32" s="1"/>
  <c r="V16" i="20"/>
  <c r="R14" i="32" s="1"/>
  <c r="U16" i="20"/>
  <c r="Q14" i="32" s="1"/>
  <c r="Q16" i="20"/>
  <c r="M14" i="32" s="1"/>
  <c r="P16" i="20"/>
  <c r="L14" i="32" s="1"/>
  <c r="O16" i="20"/>
  <c r="K14" i="32" s="1"/>
  <c r="J16" i="20"/>
  <c r="I14" i="32" s="1"/>
  <c r="I16" i="20"/>
  <c r="H14" i="32" s="1"/>
  <c r="H16" i="20"/>
  <c r="J14" i="32" s="1"/>
  <c r="G16" i="20"/>
  <c r="G14" i="32" s="1"/>
  <c r="F16" i="20"/>
  <c r="F14" i="32" s="1"/>
  <c r="D14" i="32"/>
  <c r="C14" i="32"/>
  <c r="B14" i="32"/>
  <c r="AB15" i="20"/>
  <c r="X13" i="32" s="1"/>
  <c r="AA15" i="20"/>
  <c r="W13" i="32" s="1"/>
  <c r="Z15" i="20"/>
  <c r="V13" i="32" s="1"/>
  <c r="Y15" i="20"/>
  <c r="U13" i="32" s="1"/>
  <c r="X15" i="20"/>
  <c r="T13" i="32" s="1"/>
  <c r="W15" i="20"/>
  <c r="S13" i="32" s="1"/>
  <c r="V15" i="20"/>
  <c r="R13" i="32" s="1"/>
  <c r="U15" i="20"/>
  <c r="Q13" i="32" s="1"/>
  <c r="Q15" i="20"/>
  <c r="M13" i="32" s="1"/>
  <c r="P15" i="20"/>
  <c r="L13" i="32" s="1"/>
  <c r="O15" i="20"/>
  <c r="K13" i="32" s="1"/>
  <c r="J15" i="20"/>
  <c r="I13" i="32" s="1"/>
  <c r="I15" i="20"/>
  <c r="H13" i="32" s="1"/>
  <c r="H15" i="20"/>
  <c r="J13" i="32" s="1"/>
  <c r="G15" i="20"/>
  <c r="F15" i="20"/>
  <c r="F13" i="32" s="1"/>
  <c r="E13" i="32"/>
  <c r="D13" i="32"/>
  <c r="C13" i="32"/>
  <c r="B13" i="32"/>
  <c r="AB14" i="20"/>
  <c r="X12" i="32" s="1"/>
  <c r="AA14" i="20"/>
  <c r="W12" i="32" s="1"/>
  <c r="Z14" i="20"/>
  <c r="V12" i="32" s="1"/>
  <c r="Y14" i="20"/>
  <c r="U12" i="32" s="1"/>
  <c r="X14" i="20"/>
  <c r="T12" i="32" s="1"/>
  <c r="W14" i="20"/>
  <c r="S12" i="32" s="1"/>
  <c r="V14" i="20"/>
  <c r="R12" i="32" s="1"/>
  <c r="U14" i="20"/>
  <c r="Q12" i="32" s="1"/>
  <c r="Q14" i="20"/>
  <c r="M12" i="32" s="1"/>
  <c r="P14" i="20"/>
  <c r="L12" i="32" s="1"/>
  <c r="O14" i="20"/>
  <c r="K12" i="32" s="1"/>
  <c r="J14" i="20"/>
  <c r="I12" i="32" s="1"/>
  <c r="I14" i="20"/>
  <c r="H12" i="32" s="1"/>
  <c r="H14" i="20"/>
  <c r="J12" i="32" s="1"/>
  <c r="G14" i="20"/>
  <c r="G12" i="32" s="1"/>
  <c r="F14" i="20"/>
  <c r="F12" i="32" s="1"/>
  <c r="D12" i="32"/>
  <c r="C12" i="32"/>
  <c r="B12" i="32"/>
  <c r="AB13" i="20"/>
  <c r="X11" i="32" s="1"/>
  <c r="AA13" i="20"/>
  <c r="W11" i="32" s="1"/>
  <c r="Z13" i="20"/>
  <c r="V11" i="32" s="1"/>
  <c r="Y13" i="20"/>
  <c r="U11" i="32" s="1"/>
  <c r="X13" i="20"/>
  <c r="T11" i="32" s="1"/>
  <c r="W13" i="20"/>
  <c r="S11" i="32" s="1"/>
  <c r="V13" i="20"/>
  <c r="R11" i="32" s="1"/>
  <c r="U13" i="20"/>
  <c r="Q11" i="32" s="1"/>
  <c r="Q13" i="20"/>
  <c r="M11" i="32" s="1"/>
  <c r="P13" i="20"/>
  <c r="L11" i="32" s="1"/>
  <c r="O13" i="20"/>
  <c r="K11" i="32" s="1"/>
  <c r="J13" i="20"/>
  <c r="I11" i="32" s="1"/>
  <c r="I13" i="20"/>
  <c r="H11" i="32" s="1"/>
  <c r="H13" i="20"/>
  <c r="J11" i="32" s="1"/>
  <c r="G13" i="20"/>
  <c r="G11" i="32" s="1"/>
  <c r="F13" i="20"/>
  <c r="F11" i="32" s="1"/>
  <c r="E11" i="32"/>
  <c r="D11" i="32"/>
  <c r="B11" i="32"/>
  <c r="AB12" i="20"/>
  <c r="X10" i="32" s="1"/>
  <c r="AA12" i="20"/>
  <c r="W10" i="32" s="1"/>
  <c r="Z12" i="20"/>
  <c r="V10" i="32" s="1"/>
  <c r="Y12" i="20"/>
  <c r="U10" i="32" s="1"/>
  <c r="X12" i="20"/>
  <c r="T10" i="32" s="1"/>
  <c r="W12" i="20"/>
  <c r="S10" i="32" s="1"/>
  <c r="V12" i="20"/>
  <c r="R10" i="32" s="1"/>
  <c r="U12" i="20"/>
  <c r="Q10" i="32" s="1"/>
  <c r="Q12" i="20"/>
  <c r="M10" i="32" s="1"/>
  <c r="P12" i="20"/>
  <c r="L10" i="32" s="1"/>
  <c r="O12" i="20"/>
  <c r="K10" i="32" s="1"/>
  <c r="J12" i="20"/>
  <c r="I10" i="32" s="1"/>
  <c r="I12" i="20"/>
  <c r="H10" i="32" s="1"/>
  <c r="H12" i="20"/>
  <c r="J10" i="32" s="1"/>
  <c r="G12" i="20"/>
  <c r="G10" i="32" s="1"/>
  <c r="F12" i="20"/>
  <c r="F10" i="32" s="1"/>
  <c r="D10" i="32"/>
  <c r="C10" i="32"/>
  <c r="B10" i="32"/>
  <c r="AB11" i="20"/>
  <c r="X9" i="32" s="1"/>
  <c r="AA11" i="20"/>
  <c r="W9" i="32" s="1"/>
  <c r="Z11" i="20"/>
  <c r="V9" i="32" s="1"/>
  <c r="Y11" i="20"/>
  <c r="U9" i="32" s="1"/>
  <c r="X11" i="20"/>
  <c r="T9" i="32" s="1"/>
  <c r="W11" i="20"/>
  <c r="S9" i="32" s="1"/>
  <c r="V11" i="20"/>
  <c r="R9" i="32" s="1"/>
  <c r="U11" i="20"/>
  <c r="Q9" i="32" s="1"/>
  <c r="Q11" i="20"/>
  <c r="M9" i="32" s="1"/>
  <c r="P11" i="20"/>
  <c r="L9" i="32" s="1"/>
  <c r="O11" i="20"/>
  <c r="K9" i="32" s="1"/>
  <c r="J11" i="20"/>
  <c r="I9" i="32" s="1"/>
  <c r="I11" i="20"/>
  <c r="H9" i="32" s="1"/>
  <c r="H11" i="20"/>
  <c r="J9" i="32" s="1"/>
  <c r="G11" i="20"/>
  <c r="F11" i="20"/>
  <c r="F9" i="32" s="1"/>
  <c r="E9" i="32"/>
  <c r="D9" i="32"/>
  <c r="C9" i="32"/>
  <c r="B9" i="32"/>
  <c r="AB10" i="20"/>
  <c r="X8" i="32" s="1"/>
  <c r="AA10" i="20"/>
  <c r="W8" i="32" s="1"/>
  <c r="Z10" i="20"/>
  <c r="V8" i="32" s="1"/>
  <c r="Y10" i="20"/>
  <c r="U8" i="32" s="1"/>
  <c r="X10" i="20"/>
  <c r="T8" i="32" s="1"/>
  <c r="W10" i="20"/>
  <c r="S8" i="32" s="1"/>
  <c r="V10" i="20"/>
  <c r="R8" i="32" s="1"/>
  <c r="U10" i="20"/>
  <c r="Q8" i="32" s="1"/>
  <c r="Q10" i="20"/>
  <c r="M8" i="32" s="1"/>
  <c r="P10" i="20"/>
  <c r="L8" i="32" s="1"/>
  <c r="O10" i="20"/>
  <c r="K8" i="32" s="1"/>
  <c r="J10" i="20"/>
  <c r="I8" i="32" s="1"/>
  <c r="I10" i="20"/>
  <c r="H8" i="32" s="1"/>
  <c r="H10" i="20"/>
  <c r="J8" i="32" s="1"/>
  <c r="G10" i="20"/>
  <c r="G8" i="32" s="1"/>
  <c r="F10" i="20"/>
  <c r="F8" i="32" s="1"/>
  <c r="D8" i="32"/>
  <c r="C8" i="32"/>
  <c r="B8" i="32"/>
  <c r="AB9" i="20"/>
  <c r="X7" i="32" s="1"/>
  <c r="AA9" i="20"/>
  <c r="W7" i="32" s="1"/>
  <c r="Z9" i="20"/>
  <c r="V7" i="32" s="1"/>
  <c r="Y9" i="20"/>
  <c r="U7" i="32" s="1"/>
  <c r="X9" i="20"/>
  <c r="T7" i="32" s="1"/>
  <c r="W9" i="20"/>
  <c r="S7" i="32" s="1"/>
  <c r="V9" i="20"/>
  <c r="R7" i="32" s="1"/>
  <c r="U9" i="20"/>
  <c r="Q7" i="32" s="1"/>
  <c r="Q9" i="20"/>
  <c r="M7" i="32" s="1"/>
  <c r="P9" i="20"/>
  <c r="L7" i="32" s="1"/>
  <c r="O9" i="20"/>
  <c r="K7" i="32" s="1"/>
  <c r="J9" i="20"/>
  <c r="I7" i="32" s="1"/>
  <c r="I9" i="20"/>
  <c r="H7" i="32" s="1"/>
  <c r="H9" i="20"/>
  <c r="J7" i="32" s="1"/>
  <c r="G9" i="20"/>
  <c r="G7" i="32" s="1"/>
  <c r="F9" i="20"/>
  <c r="F7" i="32" s="1"/>
  <c r="E7" i="32"/>
  <c r="D7" i="32"/>
  <c r="B7" i="32"/>
  <c r="AB8" i="20"/>
  <c r="X6" i="32" s="1"/>
  <c r="AA8" i="20"/>
  <c r="W6" i="32" s="1"/>
  <c r="Z8" i="20"/>
  <c r="V6" i="32" s="1"/>
  <c r="Y8" i="20"/>
  <c r="U6" i="32" s="1"/>
  <c r="X8" i="20"/>
  <c r="T6" i="32" s="1"/>
  <c r="W8" i="20"/>
  <c r="S6" i="32" s="1"/>
  <c r="V8" i="20"/>
  <c r="R6" i="32" s="1"/>
  <c r="U8" i="20"/>
  <c r="Q6" i="32" s="1"/>
  <c r="Q8" i="20"/>
  <c r="M6" i="32" s="1"/>
  <c r="P8" i="20"/>
  <c r="L6" i="32" s="1"/>
  <c r="K6" i="32"/>
  <c r="J8" i="20"/>
  <c r="I6" i="32" s="1"/>
  <c r="I8" i="20"/>
  <c r="H6" i="32" s="1"/>
  <c r="H8" i="20"/>
  <c r="J6" i="32" s="1"/>
  <c r="G8" i="20"/>
  <c r="G6" i="32" s="1"/>
  <c r="F8" i="20"/>
  <c r="F6" i="32" s="1"/>
  <c r="E6" i="32"/>
  <c r="D6" i="32"/>
  <c r="C6" i="32"/>
  <c r="B6" i="32"/>
  <c r="D5" i="32"/>
  <c r="E5" i="32"/>
  <c r="F7" i="20"/>
  <c r="F5" i="32" s="1"/>
  <c r="G7" i="20"/>
  <c r="G5" i="32" s="1"/>
  <c r="H7" i="20"/>
  <c r="J5" i="32" s="1"/>
  <c r="I7" i="20"/>
  <c r="H5" i="32" s="1"/>
  <c r="J7" i="20"/>
  <c r="I5" i="32" s="1"/>
  <c r="O7" i="20"/>
  <c r="K5" i="32" s="1"/>
  <c r="P7" i="20"/>
  <c r="L5" i="32" s="1"/>
  <c r="Q7" i="20"/>
  <c r="M5" i="32" s="1"/>
  <c r="U7" i="20"/>
  <c r="Q5" i="32" s="1"/>
  <c r="V7" i="20"/>
  <c r="R5" i="32" s="1"/>
  <c r="W7" i="20"/>
  <c r="S5" i="32" s="1"/>
  <c r="X7" i="20"/>
  <c r="T5" i="32" s="1"/>
  <c r="Y7" i="20"/>
  <c r="U5" i="32" s="1"/>
  <c r="Z7" i="20"/>
  <c r="V5" i="32" s="1"/>
  <c r="AA7" i="20"/>
  <c r="W5" i="32" s="1"/>
  <c r="AB7" i="20"/>
  <c r="X5" i="32" s="1"/>
  <c r="M18" i="39"/>
  <c r="O18" i="39" s="1"/>
  <c r="A8" i="39"/>
  <c r="A9" i="39" s="1"/>
  <c r="A10" i="39" s="1"/>
  <c r="A11" i="39" s="1"/>
  <c r="A12" i="39" s="1"/>
  <c r="A13" i="39" s="1"/>
  <c r="A14" i="39" s="1"/>
  <c r="A15" i="39" s="1"/>
  <c r="A16" i="39" s="1"/>
  <c r="A17" i="39" s="1"/>
  <c r="A18" i="39" s="1"/>
  <c r="A19" i="39" s="1"/>
  <c r="A20" i="39" s="1"/>
  <c r="A21" i="39" s="1"/>
  <c r="A22" i="39" s="1"/>
  <c r="A23" i="39" s="1"/>
  <c r="A24" i="39" s="1"/>
  <c r="A25" i="39" s="1"/>
  <c r="A26" i="39" s="1"/>
  <c r="A27" i="39" s="1"/>
  <c r="A28" i="39" s="1"/>
  <c r="A29" i="39" s="1"/>
  <c r="A30" i="39" s="1"/>
  <c r="A31" i="39" s="1"/>
  <c r="A32" i="39" s="1"/>
  <c r="A33" i="39" s="1"/>
  <c r="A34" i="39" s="1"/>
  <c r="A35" i="39" s="1"/>
  <c r="A36" i="39" s="1"/>
  <c r="A37" i="39" s="1"/>
  <c r="A38" i="39" s="1"/>
  <c r="A39" i="39" s="1"/>
  <c r="A40" i="39" s="1"/>
  <c r="A41" i="39" s="1"/>
  <c r="A42" i="39" s="1"/>
  <c r="A43" i="39" s="1"/>
  <c r="A44" i="39" s="1"/>
  <c r="A45" i="39" s="1"/>
  <c r="A46" i="39" s="1"/>
  <c r="A47" i="39" s="1"/>
  <c r="A48" i="39" s="1"/>
  <c r="A49" i="39" s="1"/>
  <c r="A50" i="39" s="1"/>
  <c r="A51" i="39" s="1"/>
  <c r="A52" i="39" s="1"/>
  <c r="A53" i="39" s="1"/>
  <c r="A54" i="39" s="1"/>
  <c r="A55" i="39" s="1"/>
  <c r="A56" i="39" s="1"/>
  <c r="A57" i="39" s="1"/>
  <c r="A58" i="39" s="1"/>
  <c r="A59" i="39" s="1"/>
  <c r="A60" i="39" s="1"/>
  <c r="A61" i="39" s="1"/>
  <c r="A62" i="39" s="1"/>
  <c r="A63" i="39" s="1"/>
  <c r="A64" i="39" s="1"/>
  <c r="A65" i="39" s="1"/>
  <c r="A66" i="39" s="1"/>
  <c r="A67" i="39" s="1"/>
  <c r="A68" i="39" s="1"/>
  <c r="A69" i="39" s="1"/>
  <c r="A70" i="39" s="1"/>
  <c r="A71" i="39" s="1"/>
  <c r="A72" i="39" s="1"/>
  <c r="A73" i="39" s="1"/>
  <c r="A74" i="39" s="1"/>
  <c r="A75" i="39" s="1"/>
  <c r="A76" i="39" s="1"/>
  <c r="A77" i="39" s="1"/>
  <c r="A78" i="39" s="1"/>
  <c r="A79" i="39" s="1"/>
  <c r="A80" i="39" s="1"/>
  <c r="A81" i="39" s="1"/>
  <c r="A82" i="39" s="1"/>
  <c r="A83" i="39" s="1"/>
  <c r="A84" i="39" s="1"/>
  <c r="A85" i="39" s="1"/>
  <c r="A86" i="39" s="1"/>
  <c r="A87" i="39" s="1"/>
  <c r="A88" i="39" s="1"/>
  <c r="A89" i="39" s="1"/>
  <c r="A90" i="39" s="1"/>
  <c r="A91" i="39" s="1"/>
  <c r="A92" i="39" s="1"/>
  <c r="A93" i="39" s="1"/>
  <c r="A94" i="39" s="1"/>
  <c r="A95" i="39" s="1"/>
  <c r="A96" i="39" s="1"/>
  <c r="A97" i="39" s="1"/>
  <c r="A98" i="39" s="1"/>
  <c r="A99" i="39" s="1"/>
  <c r="A100" i="39" s="1"/>
  <c r="A7" i="39"/>
  <c r="P6" i="20"/>
  <c r="Q34" i="39"/>
  <c r="O34" i="20" s="1"/>
  <c r="K32" i="32" s="1"/>
  <c r="D25" i="32" l="1"/>
  <c r="K13" i="20"/>
  <c r="L13" i="20" s="1"/>
  <c r="K17" i="20"/>
  <c r="L17" i="20" s="1"/>
  <c r="N18" i="39"/>
  <c r="P18" i="39"/>
  <c r="K10" i="20"/>
  <c r="M10" i="20" s="1"/>
  <c r="K12" i="20"/>
  <c r="L12" i="20" s="1"/>
  <c r="K14" i="20"/>
  <c r="L14" i="20" s="1"/>
  <c r="K16" i="20"/>
  <c r="M16" i="20" s="1"/>
  <c r="K18" i="20"/>
  <c r="L18" i="20" s="1"/>
  <c r="K20" i="20"/>
  <c r="M20" i="20" s="1"/>
  <c r="K99" i="20"/>
  <c r="N99" i="20" s="1"/>
  <c r="K87" i="20"/>
  <c r="G85" i="32"/>
  <c r="K91" i="20"/>
  <c r="G89" i="32"/>
  <c r="K54" i="20"/>
  <c r="N54" i="20" s="1"/>
  <c r="E52" i="32"/>
  <c r="K56" i="20"/>
  <c r="N56" i="20" s="1"/>
  <c r="E54" i="32"/>
  <c r="K58" i="20"/>
  <c r="N58" i="20" s="1"/>
  <c r="E56" i="32"/>
  <c r="K60" i="20"/>
  <c r="M60" i="20" s="1"/>
  <c r="E58" i="32"/>
  <c r="K64" i="20"/>
  <c r="M64" i="20" s="1"/>
  <c r="E62" i="32"/>
  <c r="K66" i="20"/>
  <c r="M66" i="20" s="1"/>
  <c r="E64" i="32"/>
  <c r="K68" i="20"/>
  <c r="L68" i="20" s="1"/>
  <c r="E66" i="32"/>
  <c r="K72" i="20"/>
  <c r="N72" i="20" s="1"/>
  <c r="E70" i="32"/>
  <c r="K76" i="20"/>
  <c r="N76" i="20" s="1"/>
  <c r="E74" i="32"/>
  <c r="K80" i="20"/>
  <c r="L80" i="20" s="1"/>
  <c r="E78" i="32"/>
  <c r="K84" i="20"/>
  <c r="N84" i="20" s="1"/>
  <c r="E82" i="32"/>
  <c r="C11" i="32"/>
  <c r="C15" i="32"/>
  <c r="K24" i="20"/>
  <c r="M24" i="20" s="1"/>
  <c r="E22" i="32"/>
  <c r="K41" i="20"/>
  <c r="L41" i="20" s="1"/>
  <c r="E39" i="32"/>
  <c r="K86" i="20"/>
  <c r="N86" i="20" s="1"/>
  <c r="E84" i="32"/>
  <c r="K88" i="20"/>
  <c r="L88" i="20" s="1"/>
  <c r="E86" i="32"/>
  <c r="K90" i="20"/>
  <c r="N90" i="20" s="1"/>
  <c r="E88" i="32"/>
  <c r="K92" i="20"/>
  <c r="M92" i="20" s="1"/>
  <c r="E90" i="32"/>
  <c r="K96" i="20"/>
  <c r="N96" i="20" s="1"/>
  <c r="E94" i="32"/>
  <c r="K98" i="20"/>
  <c r="L98" i="20" s="1"/>
  <c r="E18" i="32"/>
  <c r="K48" i="20"/>
  <c r="N48" i="20" s="1"/>
  <c r="E46" i="32"/>
  <c r="K45" i="20"/>
  <c r="M45" i="20" s="1"/>
  <c r="E43" i="32"/>
  <c r="E8" i="32"/>
  <c r="E10" i="32"/>
  <c r="E12" i="32"/>
  <c r="E14" i="32"/>
  <c r="E16" i="32"/>
  <c r="K22" i="20"/>
  <c r="N22" i="20" s="1"/>
  <c r="E20" i="32"/>
  <c r="K21" i="20"/>
  <c r="M21" i="20" s="1"/>
  <c r="C19" i="32"/>
  <c r="K29" i="20"/>
  <c r="L29" i="20" s="1"/>
  <c r="C27" i="32"/>
  <c r="K8" i="20"/>
  <c r="M8" i="20" s="1"/>
  <c r="K11" i="20"/>
  <c r="N11" i="20" s="1"/>
  <c r="K15" i="20"/>
  <c r="N15" i="20" s="1"/>
  <c r="K23" i="20"/>
  <c r="M23" i="20" s="1"/>
  <c r="G21" i="32"/>
  <c r="K31" i="20"/>
  <c r="N31" i="20" s="1"/>
  <c r="G29" i="32"/>
  <c r="K25" i="20"/>
  <c r="L25" i="20" s="1"/>
  <c r="C23" i="32"/>
  <c r="K52" i="20"/>
  <c r="N52" i="20" s="1"/>
  <c r="E50" i="32"/>
  <c r="K19" i="20"/>
  <c r="N19" i="20" s="1"/>
  <c r="G17" i="32"/>
  <c r="K27" i="20"/>
  <c r="N27" i="20" s="1"/>
  <c r="G25" i="32"/>
  <c r="K47" i="20"/>
  <c r="N47" i="20" s="1"/>
  <c r="E45" i="32"/>
  <c r="K49" i="20"/>
  <c r="L49" i="20" s="1"/>
  <c r="E47" i="32"/>
  <c r="K53" i="20"/>
  <c r="L53" i="20" s="1"/>
  <c r="E51" i="32"/>
  <c r="K55" i="20"/>
  <c r="M55" i="20" s="1"/>
  <c r="E53" i="32"/>
  <c r="K57" i="20"/>
  <c r="L57" i="20" s="1"/>
  <c r="E55" i="32"/>
  <c r="K85" i="20"/>
  <c r="L85" i="20" s="1"/>
  <c r="E83" i="32"/>
  <c r="G9" i="32"/>
  <c r="G13" i="32"/>
  <c r="K89" i="20"/>
  <c r="N89" i="20" s="1"/>
  <c r="E87" i="32"/>
  <c r="K93" i="20"/>
  <c r="L93" i="20" s="1"/>
  <c r="E91" i="32"/>
  <c r="K26" i="20"/>
  <c r="E24" i="32"/>
  <c r="K28" i="20"/>
  <c r="N28" i="20" s="1"/>
  <c r="E26" i="32"/>
  <c r="K30" i="20"/>
  <c r="L30" i="20" s="1"/>
  <c r="E28" i="32"/>
  <c r="K32" i="20"/>
  <c r="L32" i="20" s="1"/>
  <c r="E30" i="32"/>
  <c r="K9" i="20"/>
  <c r="L9" i="20" s="1"/>
  <c r="K44" i="20"/>
  <c r="L44" i="20" s="1"/>
  <c r="E42" i="32"/>
  <c r="K46" i="20"/>
  <c r="L46" i="20" s="1"/>
  <c r="E44" i="32"/>
  <c r="K59" i="20"/>
  <c r="G57" i="32"/>
  <c r="K67" i="20"/>
  <c r="L67" i="20" s="1"/>
  <c r="G65" i="32"/>
  <c r="K73" i="20"/>
  <c r="L73" i="20" s="1"/>
  <c r="G71" i="32"/>
  <c r="L16" i="20"/>
  <c r="K33" i="20"/>
  <c r="K61" i="20"/>
  <c r="M72" i="20"/>
  <c r="K78" i="20"/>
  <c r="K79" i="20"/>
  <c r="K69" i="20"/>
  <c r="K77" i="20"/>
  <c r="N87" i="20"/>
  <c r="M87" i="20"/>
  <c r="L87" i="20"/>
  <c r="N92" i="20"/>
  <c r="K34" i="20"/>
  <c r="K37" i="20"/>
  <c r="K40" i="20"/>
  <c r="K42" i="20"/>
  <c r="K43" i="20"/>
  <c r="K51" i="20"/>
  <c r="N68" i="20"/>
  <c r="M68" i="20"/>
  <c r="K74" i="20"/>
  <c r="K75" i="20"/>
  <c r="K97" i="20"/>
  <c r="M89" i="20"/>
  <c r="K35" i="20"/>
  <c r="K36" i="20"/>
  <c r="K38" i="20"/>
  <c r="K39" i="20"/>
  <c r="M56" i="20"/>
  <c r="L56" i="20"/>
  <c r="K62" i="20"/>
  <c r="K63" i="20"/>
  <c r="N85" i="20"/>
  <c r="K94" i="20"/>
  <c r="K95" i="20"/>
  <c r="M98" i="20"/>
  <c r="K50" i="20"/>
  <c r="K65" i="20"/>
  <c r="K82" i="20"/>
  <c r="K83" i="20"/>
  <c r="L66" i="20"/>
  <c r="K70" i="20"/>
  <c r="K71" i="20"/>
  <c r="M96" i="20"/>
  <c r="L96" i="20"/>
  <c r="N49" i="20"/>
  <c r="M49" i="20"/>
  <c r="M58" i="20"/>
  <c r="N59" i="20"/>
  <c r="M59" i="20"/>
  <c r="AF59" i="20" s="1"/>
  <c r="L59" i="20"/>
  <c r="N66" i="20"/>
  <c r="N73" i="20"/>
  <c r="K81" i="20"/>
  <c r="M84" i="20"/>
  <c r="L84" i="20"/>
  <c r="L89" i="20"/>
  <c r="N91" i="20"/>
  <c r="M91" i="20"/>
  <c r="L91" i="20"/>
  <c r="N98" i="20"/>
  <c r="K7" i="20"/>
  <c r="R20" i="39"/>
  <c r="P20" i="20" s="1"/>
  <c r="L18" i="32" s="1"/>
  <c r="S27" i="39"/>
  <c r="R27" i="39"/>
  <c r="P27" i="20" s="1"/>
  <c r="L25" i="32" s="1"/>
  <c r="S34" i="39"/>
  <c r="R34" i="39"/>
  <c r="P34" i="20" s="1"/>
  <c r="L32" i="32" s="1"/>
  <c r="L58" i="20" l="1"/>
  <c r="N88" i="20"/>
  <c r="M85" i="20"/>
  <c r="AF85" i="20" s="1"/>
  <c r="L92" i="20"/>
  <c r="AG92" i="20" s="1"/>
  <c r="M14" i="20"/>
  <c r="N14" i="20"/>
  <c r="L26" i="20"/>
  <c r="AD26" i="20" s="1"/>
  <c r="K101" i="20"/>
  <c r="M88" i="20"/>
  <c r="M80" i="20"/>
  <c r="N55" i="20"/>
  <c r="AG55" i="20" s="1"/>
  <c r="L60" i="20"/>
  <c r="AD60" i="20" s="1"/>
  <c r="N80" i="20"/>
  <c r="AD85" i="20"/>
  <c r="M52" i="20"/>
  <c r="N60" i="20"/>
  <c r="L52" i="20"/>
  <c r="AD53" i="20" s="1"/>
  <c r="L72" i="20"/>
  <c r="AG73" i="20" s="1"/>
  <c r="AF56" i="20"/>
  <c r="M57" i="20"/>
  <c r="AF57" i="20" s="1"/>
  <c r="L86" i="20"/>
  <c r="AD87" i="20" s="1"/>
  <c r="M86" i="20"/>
  <c r="AF86" i="20" s="1"/>
  <c r="L55" i="20"/>
  <c r="AD56" i="20" s="1"/>
  <c r="M31" i="20"/>
  <c r="L31" i="20"/>
  <c r="N21" i="20"/>
  <c r="L21" i="20"/>
  <c r="M26" i="20"/>
  <c r="N17" i="20"/>
  <c r="N18" i="20"/>
  <c r="N16" i="20"/>
  <c r="M12" i="20"/>
  <c r="AF12" i="20" s="1"/>
  <c r="N12" i="20"/>
  <c r="N10" i="20"/>
  <c r="N26" i="20"/>
  <c r="M11" i="20"/>
  <c r="AF11" i="20" s="1"/>
  <c r="L11" i="20"/>
  <c r="AD12" i="20" s="1"/>
  <c r="N25" i="20"/>
  <c r="M27" i="20"/>
  <c r="M30" i="20"/>
  <c r="N30" i="20"/>
  <c r="L10" i="20"/>
  <c r="M17" i="20"/>
  <c r="M22" i="20"/>
  <c r="AF22" i="20" s="1"/>
  <c r="M9" i="20"/>
  <c r="AF9" i="20" s="1"/>
  <c r="L27" i="20"/>
  <c r="M18" i="20"/>
  <c r="AF18" i="20" s="1"/>
  <c r="M13" i="20"/>
  <c r="N13" i="20"/>
  <c r="AD13" i="20"/>
  <c r="L15" i="20"/>
  <c r="AG18" i="39"/>
  <c r="M15" i="20"/>
  <c r="AF16" i="20" s="1"/>
  <c r="N20" i="20"/>
  <c r="L20" i="20"/>
  <c r="AD21" i="20" s="1"/>
  <c r="M29" i="20"/>
  <c r="N29" i="20"/>
  <c r="M25" i="20"/>
  <c r="AF25" i="20" s="1"/>
  <c r="M67" i="20"/>
  <c r="AF68" i="20" s="1"/>
  <c r="N57" i="20"/>
  <c r="AG57" i="20" s="1"/>
  <c r="M99" i="20"/>
  <c r="L47" i="20"/>
  <c r="AD47" i="20" s="1"/>
  <c r="AD68" i="20"/>
  <c r="L48" i="20"/>
  <c r="AD49" i="20" s="1"/>
  <c r="L99" i="20"/>
  <c r="AD99" i="20" s="1"/>
  <c r="N8" i="20"/>
  <c r="M73" i="20"/>
  <c r="AF73" i="20" s="1"/>
  <c r="M47" i="20"/>
  <c r="M44" i="20"/>
  <c r="AF45" i="20" s="1"/>
  <c r="M32" i="20"/>
  <c r="M93" i="20"/>
  <c r="AF93" i="20" s="1"/>
  <c r="N32" i="20"/>
  <c r="AG32" i="20" s="1"/>
  <c r="N24" i="20"/>
  <c r="N93" i="20"/>
  <c r="AG93" i="20" s="1"/>
  <c r="Q23" i="39"/>
  <c r="Q37" i="39"/>
  <c r="Q27" i="39"/>
  <c r="AF24" i="20"/>
  <c r="K35" i="32"/>
  <c r="AG89" i="20"/>
  <c r="N67" i="20"/>
  <c r="AG67" i="20" s="1"/>
  <c r="L24" i="20"/>
  <c r="AD25" i="20" s="1"/>
  <c r="L8" i="20"/>
  <c r="AD9" i="20" s="1"/>
  <c r="M41" i="20"/>
  <c r="N41" i="20"/>
  <c r="M48" i="20"/>
  <c r="S20" i="39"/>
  <c r="M53" i="20"/>
  <c r="AF99" i="20"/>
  <c r="L23" i="20"/>
  <c r="Q34" i="20"/>
  <c r="M32" i="32" s="1"/>
  <c r="L45" i="20"/>
  <c r="AD46" i="20" s="1"/>
  <c r="L64" i="20"/>
  <c r="N44" i="20"/>
  <c r="M28" i="20"/>
  <c r="L22" i="20"/>
  <c r="AG18" i="20"/>
  <c r="N23" i="20"/>
  <c r="AD59" i="20"/>
  <c r="L28" i="20"/>
  <c r="AD29" i="20" s="1"/>
  <c r="L76" i="20"/>
  <c r="L54" i="20"/>
  <c r="L19" i="20"/>
  <c r="AD19" i="20" s="1"/>
  <c r="Q27" i="20"/>
  <c r="M25" i="32" s="1"/>
  <c r="N64" i="20"/>
  <c r="M76" i="20"/>
  <c r="AF76" i="20" s="1"/>
  <c r="M54" i="20"/>
  <c r="M19" i="20"/>
  <c r="N9" i="20"/>
  <c r="N53" i="20"/>
  <c r="L90" i="20"/>
  <c r="AD91" i="20" s="1"/>
  <c r="M90" i="20"/>
  <c r="AF90" i="20" s="1"/>
  <c r="AD67" i="20"/>
  <c r="AD57" i="20"/>
  <c r="N45" i="20"/>
  <c r="AG45" i="20" s="1"/>
  <c r="M46" i="20"/>
  <c r="AF46" i="20" s="1"/>
  <c r="N46" i="20"/>
  <c r="AG47" i="20" s="1"/>
  <c r="N83" i="20"/>
  <c r="AG84" i="20" s="1"/>
  <c r="M83" i="20"/>
  <c r="AF84" i="20" s="1"/>
  <c r="L83" i="20"/>
  <c r="AD84" i="20" s="1"/>
  <c r="M39" i="20"/>
  <c r="L39" i="20"/>
  <c r="N39" i="20"/>
  <c r="M43" i="20"/>
  <c r="L43" i="20"/>
  <c r="AD44" i="20" s="1"/>
  <c r="N43" i="20"/>
  <c r="AG59" i="20"/>
  <c r="M82" i="20"/>
  <c r="L82" i="20"/>
  <c r="N82" i="20"/>
  <c r="AG85" i="20"/>
  <c r="M38" i="20"/>
  <c r="N38" i="20"/>
  <c r="L38" i="20"/>
  <c r="N77" i="20"/>
  <c r="M77" i="20"/>
  <c r="L77" i="20"/>
  <c r="N95" i="20"/>
  <c r="AG96" i="20" s="1"/>
  <c r="M95" i="20"/>
  <c r="L95" i="20"/>
  <c r="AD96" i="20" s="1"/>
  <c r="M42" i="20"/>
  <c r="L42" i="20"/>
  <c r="N42" i="20"/>
  <c r="AF58" i="20"/>
  <c r="M94" i="20"/>
  <c r="AF94" i="20" s="1"/>
  <c r="L94" i="20"/>
  <c r="N94" i="20"/>
  <c r="M35" i="20"/>
  <c r="N35" i="20"/>
  <c r="L35" i="20"/>
  <c r="N75" i="20"/>
  <c r="M75" i="20"/>
  <c r="L75" i="20"/>
  <c r="N40" i="20"/>
  <c r="M40" i="20"/>
  <c r="L40" i="20"/>
  <c r="AD41" i="20" s="1"/>
  <c r="AF92" i="20"/>
  <c r="N69" i="20"/>
  <c r="M69" i="20"/>
  <c r="AF69" i="20" s="1"/>
  <c r="L69" i="20"/>
  <c r="AD69" i="20" s="1"/>
  <c r="N61" i="20"/>
  <c r="M61" i="20"/>
  <c r="AF61" i="20" s="1"/>
  <c r="L61" i="20"/>
  <c r="AD17" i="20"/>
  <c r="AD14" i="20"/>
  <c r="N36" i="20"/>
  <c r="M36" i="20"/>
  <c r="L36" i="20"/>
  <c r="AD58" i="20"/>
  <c r="M74" i="20"/>
  <c r="L74" i="20"/>
  <c r="N74" i="20"/>
  <c r="N51" i="20"/>
  <c r="M51" i="20"/>
  <c r="AF52" i="20" s="1"/>
  <c r="L51" i="20"/>
  <c r="AD86" i="20"/>
  <c r="N79" i="20"/>
  <c r="M79" i="20"/>
  <c r="L79" i="20"/>
  <c r="AD80" i="20" s="1"/>
  <c r="M33" i="20"/>
  <c r="L33" i="20"/>
  <c r="AD33" i="20" s="1"/>
  <c r="N33" i="20"/>
  <c r="AG86" i="20"/>
  <c r="AF17" i="20"/>
  <c r="AD89" i="20"/>
  <c r="N63" i="20"/>
  <c r="M63" i="20"/>
  <c r="L63" i="20"/>
  <c r="AD64" i="20" s="1"/>
  <c r="AF89" i="20"/>
  <c r="M37" i="20"/>
  <c r="L37" i="20"/>
  <c r="N37" i="20"/>
  <c r="M78" i="20"/>
  <c r="AF78" i="20" s="1"/>
  <c r="L78" i="20"/>
  <c r="N78" i="20"/>
  <c r="AG17" i="20"/>
  <c r="M50" i="20"/>
  <c r="AF50" i="20" s="1"/>
  <c r="L50" i="20"/>
  <c r="N50" i="20"/>
  <c r="M62" i="20"/>
  <c r="L62" i="20"/>
  <c r="N62" i="20"/>
  <c r="M34" i="20"/>
  <c r="L34" i="20"/>
  <c r="N34" i="20"/>
  <c r="AF60" i="20"/>
  <c r="AG15" i="20"/>
  <c r="AG58" i="20"/>
  <c r="AD18" i="20"/>
  <c r="AF88" i="20"/>
  <c r="N71" i="20"/>
  <c r="M71" i="20"/>
  <c r="L71" i="20"/>
  <c r="AD72" i="20" s="1"/>
  <c r="N65" i="20"/>
  <c r="M65" i="20"/>
  <c r="AF65" i="20" s="1"/>
  <c r="L65" i="20"/>
  <c r="AD66" i="20" s="1"/>
  <c r="AG88" i="20"/>
  <c r="N97" i="20"/>
  <c r="M97" i="20"/>
  <c r="AF97" i="20" s="1"/>
  <c r="L97" i="20"/>
  <c r="AD98" i="20" s="1"/>
  <c r="AD88" i="20"/>
  <c r="AG60" i="20"/>
  <c r="AF21" i="20"/>
  <c r="N81" i="20"/>
  <c r="M81" i="20"/>
  <c r="AF81" i="20" s="1"/>
  <c r="L81" i="20"/>
  <c r="M70" i="20"/>
  <c r="L70" i="20"/>
  <c r="N70" i="20"/>
  <c r="L7" i="20"/>
  <c r="M7" i="20"/>
  <c r="AF8" i="20" s="1"/>
  <c r="N7" i="20"/>
  <c r="S37" i="39"/>
  <c r="R37" i="39"/>
  <c r="P37" i="20" s="1"/>
  <c r="L35" i="32" s="1"/>
  <c r="S30" i="39"/>
  <c r="Q30" i="39"/>
  <c r="R23" i="39"/>
  <c r="P23" i="20" s="1"/>
  <c r="L21" i="32" s="1"/>
  <c r="S23" i="39"/>
  <c r="R30" i="39"/>
  <c r="P30" i="20" s="1"/>
  <c r="L28" i="32" s="1"/>
  <c r="AF67" i="20" l="1"/>
  <c r="AD55" i="20"/>
  <c r="AD93" i="20"/>
  <c r="AD92" i="20"/>
  <c r="AG53" i="20"/>
  <c r="AG99" i="20"/>
  <c r="AG68" i="20"/>
  <c r="AG52" i="20"/>
  <c r="AF74" i="20"/>
  <c r="AG87" i="20"/>
  <c r="AD73" i="20"/>
  <c r="AG14" i="20"/>
  <c r="AF14" i="20"/>
  <c r="AF87" i="20"/>
  <c r="AG80" i="20"/>
  <c r="AG56" i="20"/>
  <c r="AF63" i="20"/>
  <c r="AG97" i="20"/>
  <c r="AD52" i="20"/>
  <c r="AG90" i="20"/>
  <c r="AD76" i="20"/>
  <c r="AG74" i="20"/>
  <c r="AD77" i="20"/>
  <c r="AF53" i="20"/>
  <c r="AF32" i="20"/>
  <c r="AF31" i="20"/>
  <c r="AG31" i="20"/>
  <c r="AD31" i="20"/>
  <c r="AD32" i="20"/>
  <c r="AG29" i="20"/>
  <c r="AG26" i="20"/>
  <c r="AG11" i="20"/>
  <c r="AF15" i="20"/>
  <c r="AD11" i="20"/>
  <c r="AF13" i="20"/>
  <c r="AF33" i="20"/>
  <c r="AG12" i="20"/>
  <c r="AG16" i="20"/>
  <c r="AF27" i="20"/>
  <c r="AG13" i="20"/>
  <c r="AD8" i="20"/>
  <c r="AF19" i="20"/>
  <c r="AD10" i="20"/>
  <c r="AG10" i="20"/>
  <c r="AF54" i="20"/>
  <c r="AD16" i="20"/>
  <c r="AG21" i="20"/>
  <c r="AF10" i="20"/>
  <c r="AD45" i="20"/>
  <c r="AF42" i="20"/>
  <c r="AG72" i="20"/>
  <c r="AF62" i="20"/>
  <c r="AG49" i="20"/>
  <c r="AD24" i="20"/>
  <c r="AG25" i="20"/>
  <c r="AG48" i="20"/>
  <c r="AF29" i="20"/>
  <c r="AF26" i="20"/>
  <c r="AD28" i="20"/>
  <c r="AF48" i="20"/>
  <c r="AD15" i="20"/>
  <c r="AD43" i="20"/>
  <c r="AG24" i="20"/>
  <c r="AD39" i="20"/>
  <c r="AF28" i="20"/>
  <c r="AF39" i="20"/>
  <c r="AG19" i="20"/>
  <c r="AG8" i="20"/>
  <c r="AF75" i="20"/>
  <c r="AF20" i="20"/>
  <c r="AD83" i="20"/>
  <c r="AD48" i="20"/>
  <c r="AF47" i="20"/>
  <c r="AG81" i="20"/>
  <c r="AG9" i="20"/>
  <c r="AG65" i="20"/>
  <c r="AD35" i="20"/>
  <c r="AF34" i="20"/>
  <c r="AF44" i="20"/>
  <c r="O27" i="20"/>
  <c r="K25" i="32" s="1"/>
  <c r="O23" i="20"/>
  <c r="K21" i="32" s="1"/>
  <c r="AG27" i="20"/>
  <c r="Q20" i="39"/>
  <c r="O20" i="20" s="1"/>
  <c r="AG46" i="20"/>
  <c r="O30" i="20"/>
  <c r="AG70" i="20"/>
  <c r="AG69" i="20"/>
  <c r="AG76" i="20"/>
  <c r="Q30" i="20"/>
  <c r="AD71" i="20"/>
  <c r="AD36" i="20"/>
  <c r="AF95" i="20"/>
  <c r="AG91" i="20"/>
  <c r="AF70" i="20"/>
  <c r="AG54" i="20"/>
  <c r="AG64" i="20"/>
  <c r="AG95" i="20"/>
  <c r="Q20" i="20"/>
  <c r="Q37" i="20"/>
  <c r="M35" i="32" s="1"/>
  <c r="AF55" i="20"/>
  <c r="AD63" i="20"/>
  <c r="AF79" i="20"/>
  <c r="AG36" i="20"/>
  <c r="AF35" i="20"/>
  <c r="AD90" i="20"/>
  <c r="AF77" i="20"/>
  <c r="AF23" i="20"/>
  <c r="AF91" i="20"/>
  <c r="AF37" i="20"/>
  <c r="AD22" i="20"/>
  <c r="AG28" i="20"/>
  <c r="AG22" i="20"/>
  <c r="Q23" i="20"/>
  <c r="AG78" i="20"/>
  <c r="AF49" i="20"/>
  <c r="AF30" i="20"/>
  <c r="AD54" i="20"/>
  <c r="AG62" i="20"/>
  <c r="AG79" i="20"/>
  <c r="AD42" i="20"/>
  <c r="AG35" i="20"/>
  <c r="AF64" i="20"/>
  <c r="AF82" i="20"/>
  <c r="AG39" i="20"/>
  <c r="AG71" i="20"/>
  <c r="AG63" i="20"/>
  <c r="AF40" i="20"/>
  <c r="AF41" i="20"/>
  <c r="AD78" i="20"/>
  <c r="AG38" i="20"/>
  <c r="AD62" i="20"/>
  <c r="AD82" i="20"/>
  <c r="AD97" i="20"/>
  <c r="AD65" i="20"/>
  <c r="AG44" i="20"/>
  <c r="AG66" i="20"/>
  <c r="AG33" i="20"/>
  <c r="AG61" i="20"/>
  <c r="AG40" i="20"/>
  <c r="AG94" i="20"/>
  <c r="AF38" i="20"/>
  <c r="AF71" i="20"/>
  <c r="AD40" i="20"/>
  <c r="AF72" i="20"/>
  <c r="AF80" i="20"/>
  <c r="AF98" i="20"/>
  <c r="AD81" i="20"/>
  <c r="AD34" i="20"/>
  <c r="AF51" i="20"/>
  <c r="AD70" i="20"/>
  <c r="AD95" i="20"/>
  <c r="AD94" i="20"/>
  <c r="AG77" i="20"/>
  <c r="AF83" i="20"/>
  <c r="AG34" i="20"/>
  <c r="AG50" i="20"/>
  <c r="AD61" i="20"/>
  <c r="AD38" i="20"/>
  <c r="AG98" i="20"/>
  <c r="AG51" i="20"/>
  <c r="AD37" i="20"/>
  <c r="AG42" i="20"/>
  <c r="AG43" i="20"/>
  <c r="AG83" i="20"/>
  <c r="AF36" i="20"/>
  <c r="AG75" i="20"/>
  <c r="AG82" i="20"/>
  <c r="AF96" i="20"/>
  <c r="AD51" i="20"/>
  <c r="AD50" i="20"/>
  <c r="AD79" i="20"/>
  <c r="AD75" i="20"/>
  <c r="AD74" i="20"/>
  <c r="AF66" i="20"/>
  <c r="AF43" i="20"/>
  <c r="AG41" i="20"/>
  <c r="AD23" i="20" l="1"/>
  <c r="AD27" i="20"/>
  <c r="AG37" i="20"/>
  <c r="M18" i="32"/>
  <c r="AG20" i="20"/>
  <c r="K28" i="32"/>
  <c r="AD30" i="20"/>
  <c r="K18" i="32"/>
  <c r="AD20" i="20"/>
  <c r="M21" i="32"/>
  <c r="AG23" i="20"/>
  <c r="M28" i="32"/>
  <c r="AG30" i="20"/>
  <c r="D6" i="39"/>
  <c r="D8" i="39"/>
  <c r="D9" i="39" s="1"/>
  <c r="D10" i="39" s="1"/>
  <c r="D11" i="39" s="1"/>
  <c r="D12" i="39" s="1"/>
  <c r="D13" i="39" s="1"/>
  <c r="D14" i="39" s="1"/>
  <c r="D15" i="39" s="1"/>
  <c r="D16" i="39" s="1"/>
  <c r="D17" i="39" s="1"/>
  <c r="D18" i="39" s="1"/>
  <c r="D19" i="39" s="1"/>
  <c r="D20" i="39" s="1"/>
  <c r="D21" i="39" s="1"/>
  <c r="D22" i="39" s="1"/>
  <c r="D23" i="39" s="1"/>
  <c r="D24" i="39" s="1"/>
  <c r="D25" i="39" s="1"/>
  <c r="D26" i="39" s="1"/>
  <c r="D27" i="39" s="1"/>
  <c r="D28" i="39" s="1"/>
  <c r="D29" i="39" s="1"/>
  <c r="D30" i="39" s="1"/>
  <c r="D31" i="39" s="1"/>
  <c r="D32" i="39" s="1"/>
  <c r="D33" i="39" s="1"/>
  <c r="D34" i="39" s="1"/>
  <c r="D35" i="39" s="1"/>
  <c r="D36" i="39" s="1"/>
  <c r="D37" i="39" s="1"/>
  <c r="D38" i="39" s="1"/>
  <c r="D39" i="39" s="1"/>
  <c r="D40" i="39" s="1"/>
  <c r="D41" i="39" s="1"/>
  <c r="D42" i="39" s="1"/>
  <c r="D43" i="39" s="1"/>
  <c r="D44" i="39" s="1"/>
  <c r="D45" i="39" s="1"/>
  <c r="D46" i="39" s="1"/>
  <c r="D47" i="39" s="1"/>
  <c r="D48" i="39" s="1"/>
  <c r="D49" i="39" s="1"/>
  <c r="D50" i="39" s="1"/>
  <c r="D51" i="39" s="1"/>
  <c r="D52" i="39" s="1"/>
  <c r="D53" i="39" s="1"/>
  <c r="D54" i="39" s="1"/>
  <c r="D55" i="39" s="1"/>
  <c r="D56" i="39" s="1"/>
  <c r="D57" i="39" s="1"/>
  <c r="D58" i="39" s="1"/>
  <c r="D59" i="39" s="1"/>
  <c r="D60" i="39" s="1"/>
  <c r="D61" i="39" s="1"/>
  <c r="D62" i="39" s="1"/>
  <c r="D63" i="39" s="1"/>
  <c r="D64" i="39" s="1"/>
  <c r="D65" i="39" s="1"/>
  <c r="D66" i="39" s="1"/>
  <c r="D67" i="39" s="1"/>
  <c r="D68" i="39" s="1"/>
  <c r="D69" i="39" s="1"/>
  <c r="D70" i="39" s="1"/>
  <c r="D71" i="39" s="1"/>
  <c r="D72" i="39" s="1"/>
  <c r="D73" i="39" s="1"/>
  <c r="D74" i="39" s="1"/>
  <c r="D75" i="39" s="1"/>
  <c r="D76" i="39" s="1"/>
  <c r="D77" i="39" s="1"/>
  <c r="D78" i="39" s="1"/>
  <c r="D79" i="39" s="1"/>
  <c r="D80" i="39" s="1"/>
  <c r="D81" i="39" s="1"/>
  <c r="D82" i="39" s="1"/>
  <c r="D83" i="39" s="1"/>
  <c r="D84" i="39" s="1"/>
  <c r="D85" i="39" s="1"/>
  <c r="D86" i="39" s="1"/>
  <c r="D87" i="39" s="1"/>
  <c r="D88" i="39" s="1"/>
  <c r="D89" i="39" s="1"/>
  <c r="D90" i="39" s="1"/>
  <c r="D91" i="39" s="1"/>
  <c r="D92" i="39" s="1"/>
  <c r="D93" i="39" s="1"/>
  <c r="D94" i="39" s="1"/>
  <c r="D95" i="39" s="1"/>
  <c r="D96" i="39" s="1"/>
  <c r="D97" i="39" s="1"/>
  <c r="D98" i="39" s="1"/>
  <c r="D99" i="39" s="1"/>
  <c r="D100" i="39" s="1"/>
  <c r="AB6" i="20"/>
  <c r="X4" i="32" s="1"/>
  <c r="AA6" i="20"/>
  <c r="W4" i="32" s="1"/>
  <c r="Z6" i="20"/>
  <c r="V4" i="32" s="1"/>
  <c r="Y6" i="20"/>
  <c r="U4" i="32" s="1"/>
  <c r="J6" i="20"/>
  <c r="I4" i="32" s="1"/>
  <c r="M19" i="39" l="1"/>
  <c r="X6" i="20"/>
  <c r="T4" i="32" s="1"/>
  <c r="U6" i="20"/>
  <c r="Q4" i="32" s="1"/>
  <c r="W6" i="20"/>
  <c r="S4" i="32" s="1"/>
  <c r="D108" i="20"/>
  <c r="N19" i="39" l="1"/>
  <c r="Q6" i="20"/>
  <c r="O6" i="20"/>
  <c r="D7" i="66"/>
  <c r="G7" i="66"/>
  <c r="H7" i="66"/>
  <c r="D8" i="66"/>
  <c r="G8" i="66"/>
  <c r="I8" i="66" s="1"/>
  <c r="H8" i="66"/>
  <c r="H12" i="66" s="1"/>
  <c r="I12" i="66" s="1"/>
  <c r="B9" i="66"/>
  <c r="C13" i="66" s="1"/>
  <c r="C9" i="66"/>
  <c r="H9" i="66" s="1"/>
  <c r="D11" i="66"/>
  <c r="B12" i="66"/>
  <c r="C12" i="66"/>
  <c r="D12" i="66" s="1"/>
  <c r="G12" i="66"/>
  <c r="D15" i="66"/>
  <c r="G15" i="66"/>
  <c r="H15" i="66"/>
  <c r="D16" i="66"/>
  <c r="G16" i="66"/>
  <c r="G17" i="66" s="1"/>
  <c r="H16" i="66"/>
  <c r="I16" i="66" s="1"/>
  <c r="B17" i="66"/>
  <c r="C17" i="66"/>
  <c r="H49" i="66"/>
  <c r="H50" i="66"/>
  <c r="H51" i="66"/>
  <c r="H52" i="66"/>
  <c r="H53" i="66"/>
  <c r="AD19" i="39" l="1"/>
  <c r="D14" i="66"/>
  <c r="I7" i="66"/>
  <c r="D17" i="66"/>
  <c r="B13" i="66"/>
  <c r="G13" i="66"/>
  <c r="H11" i="66"/>
  <c r="I15" i="66"/>
  <c r="H54" i="66"/>
  <c r="H17" i="66"/>
  <c r="I17" i="66" s="1"/>
  <c r="G9" i="66"/>
  <c r="D9" i="66"/>
  <c r="D13" i="66" s="1"/>
  <c r="B16" i="3"/>
  <c r="I25" i="3" s="1"/>
  <c r="H13" i="66" l="1"/>
  <c r="I9" i="66"/>
  <c r="I13" i="66" s="1"/>
  <c r="G11" i="66"/>
  <c r="I11" i="66" s="1"/>
  <c r="O8" i="3"/>
  <c r="P8" i="3"/>
  <c r="P7" i="3"/>
  <c r="P11" i="3" l="1"/>
  <c r="M81" i="39"/>
  <c r="M82" i="39"/>
  <c r="M83" i="39"/>
  <c r="M84" i="39"/>
  <c r="M85" i="39"/>
  <c r="M86" i="39"/>
  <c r="M87" i="39"/>
  <c r="M88" i="39"/>
  <c r="M89" i="39"/>
  <c r="M90" i="39"/>
  <c r="M91" i="39"/>
  <c r="M92" i="39"/>
  <c r="M93" i="39"/>
  <c r="M94" i="39"/>
  <c r="M95" i="39"/>
  <c r="M96" i="39"/>
  <c r="M97" i="39"/>
  <c r="M98" i="39"/>
  <c r="M99" i="39"/>
  <c r="M100" i="39"/>
  <c r="M62" i="39"/>
  <c r="M63" i="39"/>
  <c r="M64" i="39"/>
  <c r="M65" i="39"/>
  <c r="M66" i="39"/>
  <c r="M67" i="39"/>
  <c r="M68" i="39"/>
  <c r="M69" i="39"/>
  <c r="M70" i="39"/>
  <c r="M71" i="39"/>
  <c r="M72" i="39"/>
  <c r="M73" i="39"/>
  <c r="M74" i="39"/>
  <c r="M75" i="39"/>
  <c r="M76" i="39"/>
  <c r="M77" i="39"/>
  <c r="M78" i="39"/>
  <c r="M79" i="39"/>
  <c r="M80" i="39"/>
  <c r="F106" i="39"/>
  <c r="M54" i="39"/>
  <c r="M55" i="39"/>
  <c r="M56" i="39"/>
  <c r="M57" i="39"/>
  <c r="M58" i="39"/>
  <c r="M59" i="39"/>
  <c r="M60" i="39"/>
  <c r="M61" i="39"/>
  <c r="M53" i="39"/>
  <c r="M52" i="39"/>
  <c r="M51" i="39"/>
  <c r="M50" i="39"/>
  <c r="M49" i="39"/>
  <c r="M48" i="39"/>
  <c r="M47" i="39"/>
  <c r="M46" i="39"/>
  <c r="M45" i="39"/>
  <c r="M44" i="39"/>
  <c r="M43" i="39"/>
  <c r="M42" i="39"/>
  <c r="M41" i="39"/>
  <c r="M40" i="39"/>
  <c r="M39" i="39"/>
  <c r="M38" i="39"/>
  <c r="M37" i="39"/>
  <c r="M36" i="39"/>
  <c r="M35" i="39"/>
  <c r="M34" i="39"/>
  <c r="M33" i="39"/>
  <c r="M32" i="39"/>
  <c r="M31" i="39"/>
  <c r="M30" i="39"/>
  <c r="M29" i="39"/>
  <c r="M28" i="39"/>
  <c r="M27" i="39"/>
  <c r="M26" i="39"/>
  <c r="M25" i="39"/>
  <c r="M24" i="39"/>
  <c r="M23" i="39"/>
  <c r="M22" i="39"/>
  <c r="M21" i="39"/>
  <c r="M20" i="39"/>
  <c r="M17" i="39"/>
  <c r="M16" i="39"/>
  <c r="M15" i="39"/>
  <c r="M14" i="39"/>
  <c r="M11" i="39"/>
  <c r="M10" i="39"/>
  <c r="M9" i="39"/>
  <c r="M8" i="39"/>
  <c r="G6" i="20"/>
  <c r="G4" i="32" s="1"/>
  <c r="C35" i="15"/>
  <c r="C32" i="15"/>
  <c r="K17" i="3"/>
  <c r="P4" i="32"/>
  <c r="O4" i="32"/>
  <c r="E108" i="20"/>
  <c r="M12" i="39"/>
  <c r="V6" i="20"/>
  <c r="R4" i="32" s="1"/>
  <c r="B4" i="32"/>
  <c r="I6" i="20"/>
  <c r="H4" i="32" s="1"/>
  <c r="B22" i="3"/>
  <c r="M4" i="32"/>
  <c r="H6" i="20"/>
  <c r="J4" i="32" s="1"/>
  <c r="F6" i="20"/>
  <c r="F4" i="32" s="1"/>
  <c r="D4" i="32"/>
  <c r="AC7" i="20"/>
  <c r="AC8" i="20" s="1"/>
  <c r="B42" i="3"/>
  <c r="B43" i="3" s="1"/>
  <c r="B29" i="3"/>
  <c r="D16" i="3"/>
  <c r="N4" i="32"/>
  <c r="L4" i="32"/>
  <c r="K4" i="32"/>
  <c r="B97" i="32"/>
  <c r="B96" i="32"/>
  <c r="A4" i="32"/>
  <c r="L4" i="15"/>
  <c r="L9" i="15"/>
  <c r="L8" i="15"/>
  <c r="L7" i="15"/>
  <c r="L6" i="15"/>
  <c r="L5" i="15"/>
  <c r="D3" i="15"/>
  <c r="C3" i="15"/>
  <c r="C7" i="15"/>
  <c r="C10" i="15"/>
  <c r="D10" i="15"/>
  <c r="G10" i="15"/>
  <c r="C13" i="15"/>
  <c r="C16" i="15"/>
  <c r="C19" i="15"/>
  <c r="C22" i="15"/>
  <c r="C25" i="15"/>
  <c r="C28" i="15"/>
  <c r="B6" i="3"/>
  <c r="B33" i="3"/>
  <c r="B11" i="3"/>
  <c r="B17" i="3" s="1"/>
  <c r="D17" i="3" s="1"/>
  <c r="AC7" i="39"/>
  <c r="M6" i="39"/>
  <c r="Q102" i="39"/>
  <c r="E106" i="20"/>
  <c r="M7" i="39"/>
  <c r="R102" i="39"/>
  <c r="M13" i="39"/>
  <c r="O12" i="3"/>
  <c r="C102" i="39"/>
  <c r="AF48" i="39" l="1"/>
  <c r="AF26" i="39"/>
  <c r="AF18" i="39"/>
  <c r="AF43" i="39"/>
  <c r="AE8" i="20"/>
  <c r="N70" i="39"/>
  <c r="N85" i="39"/>
  <c r="AD86" i="39" s="1"/>
  <c r="N76" i="39"/>
  <c r="AF99" i="39"/>
  <c r="N51" i="39"/>
  <c r="AF67" i="39"/>
  <c r="AF66" i="39"/>
  <c r="N97" i="39"/>
  <c r="N81" i="39"/>
  <c r="AF55" i="39"/>
  <c r="AF72" i="39"/>
  <c r="N79" i="39"/>
  <c r="N63" i="39"/>
  <c r="AD64" i="39" s="1"/>
  <c r="C2" i="20"/>
  <c r="D106" i="20"/>
  <c r="C101" i="20"/>
  <c r="B21" i="3"/>
  <c r="B23" i="3" s="1"/>
  <c r="F109" i="39"/>
  <c r="F110" i="39"/>
  <c r="H110" i="39" s="1"/>
  <c r="B18" i="3"/>
  <c r="O6" i="3" s="1"/>
  <c r="N33" i="39"/>
  <c r="P33" i="39"/>
  <c r="AG33" i="39" s="1"/>
  <c r="O33" i="39"/>
  <c r="N67" i="39"/>
  <c r="P67" i="39"/>
  <c r="AG67" i="39" s="1"/>
  <c r="O67" i="39"/>
  <c r="N42" i="39"/>
  <c r="O42" i="39"/>
  <c r="P42" i="39"/>
  <c r="AG42" i="39" s="1"/>
  <c r="N73" i="39"/>
  <c r="AD74" i="39" s="1"/>
  <c r="P73" i="39"/>
  <c r="O73" i="39"/>
  <c r="N92" i="39"/>
  <c r="P92" i="39"/>
  <c r="AG92" i="39" s="1"/>
  <c r="O92" i="39"/>
  <c r="N8" i="39"/>
  <c r="P8" i="39"/>
  <c r="O8" i="39"/>
  <c r="N43" i="39"/>
  <c r="P43" i="39"/>
  <c r="O43" i="39"/>
  <c r="N58" i="39"/>
  <c r="P58" i="39"/>
  <c r="O58" i="39"/>
  <c r="N65" i="39"/>
  <c r="P65" i="39"/>
  <c r="AG65" i="39" s="1"/>
  <c r="O65" i="39"/>
  <c r="N28" i="39"/>
  <c r="P28" i="39"/>
  <c r="AF28" i="39" s="1"/>
  <c r="O28" i="39"/>
  <c r="P97" i="39"/>
  <c r="AG97" i="39" s="1"/>
  <c r="O97" i="39"/>
  <c r="N10" i="39"/>
  <c r="P10" i="39"/>
  <c r="AF10" i="39" s="1"/>
  <c r="O10" i="39"/>
  <c r="N21" i="39"/>
  <c r="P21" i="39"/>
  <c r="O21" i="39"/>
  <c r="N29" i="39"/>
  <c r="P29" i="39"/>
  <c r="AG29" i="39" s="1"/>
  <c r="O29" i="39"/>
  <c r="N37" i="39"/>
  <c r="AD38" i="39" s="1"/>
  <c r="P37" i="39"/>
  <c r="AF37" i="39" s="1"/>
  <c r="O37" i="39"/>
  <c r="N45" i="39"/>
  <c r="AD46" i="39" s="1"/>
  <c r="P45" i="39"/>
  <c r="O45" i="39"/>
  <c r="N52" i="39"/>
  <c r="P52" i="39"/>
  <c r="AG52" i="39" s="1"/>
  <c r="O52" i="39"/>
  <c r="N56" i="39"/>
  <c r="P56" i="39"/>
  <c r="AF56" i="39" s="1"/>
  <c r="O56" i="39"/>
  <c r="N77" i="39"/>
  <c r="AD78" i="39" s="1"/>
  <c r="P77" i="39"/>
  <c r="AG77" i="39" s="1"/>
  <c r="O77" i="39"/>
  <c r="N96" i="39"/>
  <c r="AD97" i="39" s="1"/>
  <c r="P96" i="39"/>
  <c r="AG96" i="39" s="1"/>
  <c r="O96" i="39"/>
  <c r="N89" i="39"/>
  <c r="P89" i="39"/>
  <c r="AG89" i="39" s="1"/>
  <c r="O89" i="39"/>
  <c r="N82" i="39"/>
  <c r="P82" i="39"/>
  <c r="O82" i="39"/>
  <c r="N25" i="39"/>
  <c r="P25" i="39"/>
  <c r="AF25" i="39" s="1"/>
  <c r="O25" i="39"/>
  <c r="N49" i="39"/>
  <c r="P49" i="39"/>
  <c r="O49" i="39"/>
  <c r="N60" i="39"/>
  <c r="P60" i="39"/>
  <c r="AG60" i="39" s="1"/>
  <c r="O60" i="39"/>
  <c r="N99" i="39"/>
  <c r="P99" i="39"/>
  <c r="O99" i="39"/>
  <c r="N17" i="39"/>
  <c r="AD18" i="39" s="1"/>
  <c r="P17" i="39"/>
  <c r="O17" i="39"/>
  <c r="N50" i="39"/>
  <c r="P50" i="39"/>
  <c r="AG50" i="39" s="1"/>
  <c r="O50" i="39"/>
  <c r="N66" i="39"/>
  <c r="AD67" i="39" s="1"/>
  <c r="P66" i="39"/>
  <c r="AG66" i="39" s="1"/>
  <c r="O66" i="39"/>
  <c r="N27" i="39"/>
  <c r="P27" i="39"/>
  <c r="AG27" i="39" s="1"/>
  <c r="O27" i="39"/>
  <c r="P79" i="39"/>
  <c r="AG79" i="39" s="1"/>
  <c r="O79" i="39"/>
  <c r="N84" i="39"/>
  <c r="P84" i="39"/>
  <c r="AG84" i="39" s="1"/>
  <c r="O84" i="39"/>
  <c r="N9" i="39"/>
  <c r="P9" i="39"/>
  <c r="O9" i="39"/>
  <c r="N44" i="39"/>
  <c r="AD45" i="39" s="1"/>
  <c r="P44" i="39"/>
  <c r="O44" i="39"/>
  <c r="N57" i="39"/>
  <c r="AD58" i="39" s="1"/>
  <c r="P57" i="39"/>
  <c r="AG57" i="39" s="1"/>
  <c r="O57" i="39"/>
  <c r="N78" i="39"/>
  <c r="AD79" i="39" s="1"/>
  <c r="P78" i="39"/>
  <c r="AG78" i="39" s="1"/>
  <c r="O78" i="39"/>
  <c r="N64" i="39"/>
  <c r="AD65" i="39" s="1"/>
  <c r="P64" i="39"/>
  <c r="AF64" i="39" s="1"/>
  <c r="O64" i="39"/>
  <c r="N83" i="39"/>
  <c r="AD84" i="39" s="1"/>
  <c r="O83" i="39"/>
  <c r="P83" i="39"/>
  <c r="N6" i="39"/>
  <c r="P6" i="39"/>
  <c r="AF6" i="39" s="1"/>
  <c r="O6" i="39"/>
  <c r="P7" i="39"/>
  <c r="O7" i="39"/>
  <c r="N12" i="39"/>
  <c r="P12" i="39"/>
  <c r="O12" i="39"/>
  <c r="N11" i="39"/>
  <c r="P11" i="39"/>
  <c r="AF11" i="39" s="1"/>
  <c r="O11" i="39"/>
  <c r="N22" i="39"/>
  <c r="AD23" i="39" s="1"/>
  <c r="P22" i="39"/>
  <c r="O22" i="39"/>
  <c r="N30" i="39"/>
  <c r="P30" i="39"/>
  <c r="O30" i="39"/>
  <c r="N38" i="39"/>
  <c r="O38" i="39"/>
  <c r="P38" i="39"/>
  <c r="AG38" i="39" s="1"/>
  <c r="N46" i="39"/>
  <c r="P46" i="39"/>
  <c r="AG46" i="39" s="1"/>
  <c r="O46" i="39"/>
  <c r="N53" i="39"/>
  <c r="P53" i="39"/>
  <c r="AG53" i="39" s="1"/>
  <c r="O53" i="39"/>
  <c r="N55" i="39"/>
  <c r="AD56" i="39" s="1"/>
  <c r="P55" i="39"/>
  <c r="O55" i="39"/>
  <c r="O70" i="39"/>
  <c r="P70" i="39"/>
  <c r="AG70" i="39" s="1"/>
  <c r="P63" i="39"/>
  <c r="AF63" i="39" s="1"/>
  <c r="O63" i="39"/>
  <c r="N95" i="39"/>
  <c r="AD96" i="39" s="1"/>
  <c r="O95" i="39"/>
  <c r="P95" i="39"/>
  <c r="N88" i="39"/>
  <c r="AD89" i="39" s="1"/>
  <c r="P88" i="39"/>
  <c r="AG88" i="39" s="1"/>
  <c r="O88" i="39"/>
  <c r="N16" i="39"/>
  <c r="P16" i="39"/>
  <c r="AF16" i="39" s="1"/>
  <c r="O16" i="39"/>
  <c r="N41" i="39"/>
  <c r="AD42" i="39" s="1"/>
  <c r="P41" i="39"/>
  <c r="AG41" i="39" s="1"/>
  <c r="O41" i="39"/>
  <c r="P93" i="39"/>
  <c r="AF93" i="39" s="1"/>
  <c r="O93" i="39"/>
  <c r="N34" i="39"/>
  <c r="P34" i="39"/>
  <c r="AF34" i="39" s="1"/>
  <c r="O34" i="39"/>
  <c r="N98" i="39"/>
  <c r="AD99" i="39" s="1"/>
  <c r="P98" i="39"/>
  <c r="AF98" i="39" s="1"/>
  <c r="O98" i="39"/>
  <c r="P19" i="39"/>
  <c r="O19" i="39"/>
  <c r="N20" i="39"/>
  <c r="P20" i="39"/>
  <c r="O20" i="39"/>
  <c r="N71" i="39"/>
  <c r="P71" i="39"/>
  <c r="AF71" i="39" s="1"/>
  <c r="O71" i="39"/>
  <c r="N90" i="39"/>
  <c r="P90" i="39"/>
  <c r="O90" i="39"/>
  <c r="N13" i="39"/>
  <c r="P13" i="39"/>
  <c r="O13" i="39"/>
  <c r="N14" i="39"/>
  <c r="P14" i="39"/>
  <c r="O14" i="39"/>
  <c r="N23" i="39"/>
  <c r="P23" i="39"/>
  <c r="AG23" i="39" s="1"/>
  <c r="O23" i="39"/>
  <c r="N31" i="39"/>
  <c r="AD32" i="39" s="1"/>
  <c r="P31" i="39"/>
  <c r="AF31" i="39" s="1"/>
  <c r="O31" i="39"/>
  <c r="N39" i="39"/>
  <c r="P39" i="39"/>
  <c r="O39" i="39"/>
  <c r="N47" i="39"/>
  <c r="P47" i="39"/>
  <c r="O47" i="39"/>
  <c r="N54" i="39"/>
  <c r="AD55" i="39" s="1"/>
  <c r="P54" i="39"/>
  <c r="AF54" i="39" s="1"/>
  <c r="O54" i="39"/>
  <c r="P76" i="39"/>
  <c r="AG76" i="39" s="1"/>
  <c r="O76" i="39"/>
  <c r="N69" i="39"/>
  <c r="AD70" i="39" s="1"/>
  <c r="P69" i="39"/>
  <c r="AG69" i="39" s="1"/>
  <c r="O69" i="39"/>
  <c r="N62" i="39"/>
  <c r="P62" i="39"/>
  <c r="AF62" i="39" s="1"/>
  <c r="O62" i="39"/>
  <c r="N94" i="39"/>
  <c r="P94" i="39"/>
  <c r="O94" i="39"/>
  <c r="N87" i="39"/>
  <c r="AD88" i="39" s="1"/>
  <c r="P87" i="39"/>
  <c r="AG87" i="39" s="1"/>
  <c r="O87" i="39"/>
  <c r="P81" i="39"/>
  <c r="AG81" i="39" s="1"/>
  <c r="O81" i="39"/>
  <c r="N80" i="39"/>
  <c r="AD81" i="39" s="1"/>
  <c r="P80" i="39"/>
  <c r="AF80" i="39" s="1"/>
  <c r="O80" i="39"/>
  <c r="N74" i="39"/>
  <c r="AD75" i="39" s="1"/>
  <c r="P74" i="39"/>
  <c r="AG74" i="39" s="1"/>
  <c r="O74" i="39"/>
  <c r="N26" i="39"/>
  <c r="AD27" i="39" s="1"/>
  <c r="P26" i="39"/>
  <c r="O26" i="39"/>
  <c r="N59" i="39"/>
  <c r="AD60" i="39" s="1"/>
  <c r="P59" i="39"/>
  <c r="O59" i="39"/>
  <c r="P85" i="39"/>
  <c r="AG85" i="39" s="1"/>
  <c r="O85" i="39"/>
  <c r="N35" i="39"/>
  <c r="AD36" i="39" s="1"/>
  <c r="P35" i="39"/>
  <c r="O35" i="39"/>
  <c r="N72" i="39"/>
  <c r="P72" i="39"/>
  <c r="O72" i="39"/>
  <c r="N91" i="39"/>
  <c r="AD92" i="39" s="1"/>
  <c r="P91" i="39"/>
  <c r="O91" i="39"/>
  <c r="N36" i="39"/>
  <c r="P36" i="39"/>
  <c r="AG36" i="39" s="1"/>
  <c r="O36" i="39"/>
  <c r="P51" i="39"/>
  <c r="AG51" i="39" s="1"/>
  <c r="O51" i="39"/>
  <c r="N15" i="39"/>
  <c r="P15" i="39"/>
  <c r="AF15" i="39" s="1"/>
  <c r="O15" i="39"/>
  <c r="N24" i="39"/>
  <c r="P24" i="39"/>
  <c r="AG24" i="39" s="1"/>
  <c r="O24" i="39"/>
  <c r="N32" i="39"/>
  <c r="AD33" i="39" s="1"/>
  <c r="P32" i="39"/>
  <c r="AG32" i="39" s="1"/>
  <c r="O32" i="39"/>
  <c r="N40" i="39"/>
  <c r="AD41" i="39" s="1"/>
  <c r="P40" i="39"/>
  <c r="AG40" i="39" s="1"/>
  <c r="O40" i="39"/>
  <c r="N48" i="39"/>
  <c r="AD49" i="39" s="1"/>
  <c r="P48" i="39"/>
  <c r="O48" i="39"/>
  <c r="N61" i="39"/>
  <c r="AD62" i="39" s="1"/>
  <c r="P61" i="39"/>
  <c r="AG61" i="39" s="1"/>
  <c r="O61" i="39"/>
  <c r="N75" i="39"/>
  <c r="AD76" i="39" s="1"/>
  <c r="P75" i="39"/>
  <c r="AG75" i="39" s="1"/>
  <c r="O75" i="39"/>
  <c r="N68" i="39"/>
  <c r="AD69" i="39" s="1"/>
  <c r="P68" i="39"/>
  <c r="AF68" i="39" s="1"/>
  <c r="O68" i="39"/>
  <c r="N100" i="39"/>
  <c r="P100" i="39"/>
  <c r="O100" i="39"/>
  <c r="N93" i="39"/>
  <c r="N86" i="39"/>
  <c r="AD87" i="39" s="1"/>
  <c r="P86" i="39"/>
  <c r="O86" i="39"/>
  <c r="AC8" i="39"/>
  <c r="C4" i="32"/>
  <c r="D18" i="3"/>
  <c r="D19" i="3" s="1"/>
  <c r="P101" i="20"/>
  <c r="O101" i="20"/>
  <c r="M102" i="39"/>
  <c r="N7" i="39"/>
  <c r="Q101" i="20"/>
  <c r="E4" i="32"/>
  <c r="D111" i="20" l="1"/>
  <c r="G102" i="20"/>
  <c r="AG39" i="39"/>
  <c r="AD28" i="39"/>
  <c r="AD22" i="39"/>
  <c r="AD39" i="39"/>
  <c r="AG49" i="39"/>
  <c r="AD48" i="39"/>
  <c r="AF29" i="39"/>
  <c r="AD26" i="39"/>
  <c r="AG28" i="39"/>
  <c r="AF46" i="39"/>
  <c r="AF32" i="39"/>
  <c r="AG35" i="39"/>
  <c r="AG47" i="39"/>
  <c r="AG20" i="39"/>
  <c r="AD47" i="39"/>
  <c r="AG21" i="39"/>
  <c r="AD34" i="39"/>
  <c r="AF41" i="39"/>
  <c r="AF35" i="39"/>
  <c r="AF40" i="39"/>
  <c r="AG19" i="39"/>
  <c r="AF19" i="39"/>
  <c r="AG45" i="39"/>
  <c r="AF36" i="39"/>
  <c r="AD21" i="39"/>
  <c r="AD20" i="39"/>
  <c r="AD37" i="39"/>
  <c r="AD40" i="39"/>
  <c r="AD50" i="39"/>
  <c r="AF20" i="39"/>
  <c r="AF24" i="39"/>
  <c r="AD17" i="39"/>
  <c r="AG30" i="39"/>
  <c r="AG43" i="39"/>
  <c r="AF39" i="39"/>
  <c r="AF47" i="39"/>
  <c r="AG31" i="39"/>
  <c r="AD31" i="39"/>
  <c r="AG17" i="39"/>
  <c r="AG25" i="39"/>
  <c r="AG37" i="39"/>
  <c r="AD44" i="39"/>
  <c r="AD43" i="39"/>
  <c r="AF17" i="39"/>
  <c r="AF27" i="39"/>
  <c r="AF38" i="39"/>
  <c r="AF45" i="39"/>
  <c r="AD25" i="39"/>
  <c r="AG26" i="39"/>
  <c r="AG34" i="39"/>
  <c r="AG22" i="39"/>
  <c r="AF22" i="39"/>
  <c r="AF49" i="39"/>
  <c r="AF33" i="39"/>
  <c r="AD29" i="39"/>
  <c r="AF42" i="39"/>
  <c r="AF23" i="39"/>
  <c r="AF21" i="39"/>
  <c r="AD35" i="39"/>
  <c r="AG48" i="39"/>
  <c r="AD24" i="39"/>
  <c r="AG44" i="39"/>
  <c r="AD30" i="39"/>
  <c r="AF30" i="39"/>
  <c r="AF50" i="39"/>
  <c r="AF44" i="39"/>
  <c r="B19" i="3"/>
  <c r="P6" i="3" s="1"/>
  <c r="AC10" i="20"/>
  <c r="AE9" i="20"/>
  <c r="AG100" i="39"/>
  <c r="AG91" i="39"/>
  <c r="AD63" i="39"/>
  <c r="AD72" i="39"/>
  <c r="AD100" i="39"/>
  <c r="AD57" i="39"/>
  <c r="AG73" i="39"/>
  <c r="AF73" i="39"/>
  <c r="AD98" i="39"/>
  <c r="AF91" i="39"/>
  <c r="AF85" i="39"/>
  <c r="AD66" i="39"/>
  <c r="AF53" i="39"/>
  <c r="AF74" i="39"/>
  <c r="AF75" i="39"/>
  <c r="AG68" i="39"/>
  <c r="AG72" i="39"/>
  <c r="AG59" i="39"/>
  <c r="AG63" i="39"/>
  <c r="AD54" i="39"/>
  <c r="AG83" i="39"/>
  <c r="AD61" i="39"/>
  <c r="AG82" i="39"/>
  <c r="AD53" i="39"/>
  <c r="AF79" i="39"/>
  <c r="AF77" i="39"/>
  <c r="AF57" i="39"/>
  <c r="AF76" i="39"/>
  <c r="AG86" i="39"/>
  <c r="AD73" i="39"/>
  <c r="AG80" i="39"/>
  <c r="AG94" i="39"/>
  <c r="AG90" i="39"/>
  <c r="AD83" i="39"/>
  <c r="AG58" i="39"/>
  <c r="AD80" i="39"/>
  <c r="AF100" i="39"/>
  <c r="AF81" i="39"/>
  <c r="AF52" i="39"/>
  <c r="AF51" i="39"/>
  <c r="AD77" i="39"/>
  <c r="AF70" i="39"/>
  <c r="AD95" i="39"/>
  <c r="AD91" i="39"/>
  <c r="AG93" i="39"/>
  <c r="AD59" i="39"/>
  <c r="AF61" i="39"/>
  <c r="AF88" i="39"/>
  <c r="AD82" i="39"/>
  <c r="AF69" i="39"/>
  <c r="AD52" i="39"/>
  <c r="AD51" i="39"/>
  <c r="AF58" i="39"/>
  <c r="AD71" i="39"/>
  <c r="AD94" i="39"/>
  <c r="AD93" i="39"/>
  <c r="AF86" i="39"/>
  <c r="AF87" i="39"/>
  <c r="AF96" i="39"/>
  <c r="AF89" i="39"/>
  <c r="AF82" i="39"/>
  <c r="AF84" i="39"/>
  <c r="AF92" i="39"/>
  <c r="AF78" i="39"/>
  <c r="AG62" i="39"/>
  <c r="AG54" i="39"/>
  <c r="AG71" i="39"/>
  <c r="AG98" i="39"/>
  <c r="AG95" i="39"/>
  <c r="AG55" i="39"/>
  <c r="AG64" i="39"/>
  <c r="AD85" i="39"/>
  <c r="AG99" i="39"/>
  <c r="AD90" i="39"/>
  <c r="AG56" i="39"/>
  <c r="AD68" i="39"/>
  <c r="AF94" i="39"/>
  <c r="AF95" i="39"/>
  <c r="AF65" i="39"/>
  <c r="AF97" i="39"/>
  <c r="AF90" i="39"/>
  <c r="AF83" i="39"/>
  <c r="AF59" i="39"/>
  <c r="AF60" i="39"/>
  <c r="E111" i="20"/>
  <c r="AG12" i="39"/>
  <c r="AD10" i="39"/>
  <c r="AG14" i="39"/>
  <c r="AG13" i="39"/>
  <c r="AG10" i="39"/>
  <c r="AD13" i="39"/>
  <c r="AD15" i="39"/>
  <c r="AD7" i="39"/>
  <c r="AE7" i="39" s="1"/>
  <c r="AD11" i="39"/>
  <c r="AF13" i="39"/>
  <c r="AG16" i="39"/>
  <c r="AG8" i="39"/>
  <c r="AD6" i="39"/>
  <c r="AE6" i="39" s="1"/>
  <c r="AF14" i="39"/>
  <c r="AD9" i="39"/>
  <c r="AG7" i="39"/>
  <c r="AD14" i="39"/>
  <c r="AG15" i="39"/>
  <c r="AG11" i="39"/>
  <c r="AF7" i="39"/>
  <c r="AD12" i="39"/>
  <c r="O102" i="39"/>
  <c r="O103" i="39" s="1"/>
  <c r="AD16" i="39"/>
  <c r="AF12" i="39"/>
  <c r="AG9" i="39"/>
  <c r="P102" i="39"/>
  <c r="AG6" i="39"/>
  <c r="AF9" i="39"/>
  <c r="AF8" i="39"/>
  <c r="AC9" i="39"/>
  <c r="N102" i="39"/>
  <c r="AD8" i="39"/>
  <c r="AE8" i="39" s="1"/>
  <c r="N6" i="20"/>
  <c r="M6" i="20"/>
  <c r="L6" i="20"/>
  <c r="AE7" i="20" l="1"/>
  <c r="AE6" i="20"/>
  <c r="AG7" i="20"/>
  <c r="AE10" i="20"/>
  <c r="AF6" i="20"/>
  <c r="AF7" i="20"/>
  <c r="N103" i="39"/>
  <c r="F112" i="39" s="1"/>
  <c r="AH8" i="39"/>
  <c r="AH7" i="39"/>
  <c r="AF102" i="39"/>
  <c r="AH6" i="39"/>
  <c r="AG102" i="39"/>
  <c r="AG6" i="20"/>
  <c r="AC10" i="39"/>
  <c r="AE9" i="39"/>
  <c r="AH9" i="39" s="1"/>
  <c r="M101" i="20"/>
  <c r="M102" i="20" s="1"/>
  <c r="N101" i="20"/>
  <c r="L101" i="20"/>
  <c r="L102" i="20" s="1"/>
  <c r="D113" i="20" s="1"/>
  <c r="AC12" i="20" l="1"/>
  <c r="AE11" i="20"/>
  <c r="H112" i="39"/>
  <c r="I112" i="39"/>
  <c r="K19" i="3"/>
  <c r="K22" i="3" s="1"/>
  <c r="AF101" i="20"/>
  <c r="AG101" i="20"/>
  <c r="AC11" i="39"/>
  <c r="AE10" i="39"/>
  <c r="AH10" i="39" s="1"/>
  <c r="G113" i="20"/>
  <c r="AE12" i="20" l="1"/>
  <c r="AC13" i="20"/>
  <c r="K20" i="3"/>
  <c r="K21" i="3" s="1"/>
  <c r="AC12" i="39"/>
  <c r="AE11" i="39"/>
  <c r="AH11" i="39" s="1"/>
  <c r="B10" i="3"/>
  <c r="B34" i="3" s="1"/>
  <c r="B35" i="3" s="1"/>
  <c r="B36" i="3" s="1"/>
  <c r="B38" i="3" s="1"/>
  <c r="AE13" i="20" l="1"/>
  <c r="AC14" i="20"/>
  <c r="AC13" i="39"/>
  <c r="AE12" i="39"/>
  <c r="AH12" i="39" s="1"/>
  <c r="O13" i="3"/>
  <c r="B12" i="3"/>
  <c r="B13" i="3" s="1"/>
  <c r="O4" i="3" s="1"/>
  <c r="L12" i="3"/>
  <c r="M12" i="3" s="1"/>
  <c r="AE14" i="20" l="1"/>
  <c r="AC15" i="20"/>
  <c r="AC14" i="39"/>
  <c r="AE13" i="39"/>
  <c r="AH13" i="39" s="1"/>
  <c r="O5" i="3"/>
  <c r="P5" i="3" s="1"/>
  <c r="P4" i="3"/>
  <c r="AC16" i="20" l="1"/>
  <c r="AE15" i="20"/>
  <c r="AC15" i="39"/>
  <c r="AE14" i="39"/>
  <c r="AH14" i="39" s="1"/>
  <c r="AE16" i="20" l="1"/>
  <c r="AC17" i="20"/>
  <c r="AC16" i="39"/>
  <c r="AC17" i="39" s="1"/>
  <c r="AE15" i="39"/>
  <c r="AH15" i="39" s="1"/>
  <c r="AC18" i="39" l="1"/>
  <c r="AE17" i="39"/>
  <c r="AH17" i="39" s="1"/>
  <c r="AE17" i="20"/>
  <c r="AC18" i="20"/>
  <c r="AE16" i="39"/>
  <c r="AH16" i="39" s="1"/>
  <c r="AE18" i="39" l="1"/>
  <c r="AH18" i="39" s="1"/>
  <c r="AC19" i="39"/>
  <c r="AE18" i="20"/>
  <c r="AC19" i="20"/>
  <c r="AE19" i="39" l="1"/>
  <c r="AH19" i="39" s="1"/>
  <c r="AC20" i="39"/>
  <c r="AC20" i="20"/>
  <c r="AE19" i="20"/>
  <c r="AC21" i="39" l="1"/>
  <c r="AE20" i="39"/>
  <c r="AH20" i="39" s="1"/>
  <c r="AC21" i="20"/>
  <c r="AE20" i="20"/>
  <c r="AE21" i="39" l="1"/>
  <c r="AH21" i="39" s="1"/>
  <c r="AC22" i="39"/>
  <c r="AC22" i="20"/>
  <c r="AE21" i="20"/>
  <c r="AC23" i="39" l="1"/>
  <c r="AE22" i="39"/>
  <c r="AH22" i="39" s="1"/>
  <c r="AE22" i="20"/>
  <c r="AC23" i="20"/>
  <c r="AE23" i="39" l="1"/>
  <c r="AH23" i="39" s="1"/>
  <c r="AC24" i="39"/>
  <c r="AC24" i="20"/>
  <c r="AE23" i="20"/>
  <c r="AE24" i="39" l="1"/>
  <c r="AH24" i="39" s="1"/>
  <c r="AC25" i="39"/>
  <c r="AC25" i="20"/>
  <c r="AE24" i="20"/>
  <c r="AC26" i="39" l="1"/>
  <c r="AE25" i="39"/>
  <c r="AH25" i="39" s="1"/>
  <c r="AC26" i="20"/>
  <c r="AE25" i="20"/>
  <c r="AE26" i="39" l="1"/>
  <c r="AH26" i="39" s="1"/>
  <c r="AC27" i="39"/>
  <c r="AC27" i="20"/>
  <c r="AE26" i="20"/>
  <c r="AC28" i="39" l="1"/>
  <c r="AE27" i="39"/>
  <c r="AH27" i="39" s="1"/>
  <c r="AE27" i="20"/>
  <c r="AC28" i="20"/>
  <c r="AE28" i="39" l="1"/>
  <c r="AH28" i="39" s="1"/>
  <c r="AC29" i="39"/>
  <c r="AC29" i="20"/>
  <c r="AE28" i="20"/>
  <c r="AC30" i="39" l="1"/>
  <c r="AE29" i="39"/>
  <c r="AH29" i="39" s="1"/>
  <c r="AC30" i="20"/>
  <c r="AE29" i="20"/>
  <c r="AC31" i="39" l="1"/>
  <c r="AE30" i="39"/>
  <c r="AH30" i="39" s="1"/>
  <c r="AE30" i="20"/>
  <c r="AC31" i="20"/>
  <c r="AE31" i="39" l="1"/>
  <c r="AH31" i="39" s="1"/>
  <c r="AC32" i="39"/>
  <c r="AC32" i="20"/>
  <c r="AE31" i="20"/>
  <c r="AE32" i="39" l="1"/>
  <c r="AH32" i="39" s="1"/>
  <c r="AC33" i="39"/>
  <c r="AC33" i="20"/>
  <c r="AE32" i="20"/>
  <c r="AE33" i="39" l="1"/>
  <c r="AH33" i="39" s="1"/>
  <c r="AC34" i="39"/>
  <c r="AC34" i="20"/>
  <c r="AE33" i="20"/>
  <c r="AE34" i="39" l="1"/>
  <c r="AH34" i="39" s="1"/>
  <c r="AC35" i="39"/>
  <c r="AC35" i="20"/>
  <c r="AE34" i="20"/>
  <c r="AC36" i="39" l="1"/>
  <c r="AE35" i="39"/>
  <c r="AH35" i="39" s="1"/>
  <c r="AC36" i="20"/>
  <c r="AE35" i="20"/>
  <c r="AC37" i="39" l="1"/>
  <c r="AE36" i="39"/>
  <c r="AH36" i="39" s="1"/>
  <c r="AE36" i="20"/>
  <c r="AC37" i="20"/>
  <c r="AC38" i="39" l="1"/>
  <c r="AE37" i="39"/>
  <c r="AH37" i="39" s="1"/>
  <c r="AC38" i="20"/>
  <c r="AE37" i="20"/>
  <c r="AE38" i="39" l="1"/>
  <c r="AH38" i="39" s="1"/>
  <c r="AC39" i="39"/>
  <c r="AE38" i="20"/>
  <c r="AC39" i="20"/>
  <c r="AE39" i="39" l="1"/>
  <c r="AH39" i="39" s="1"/>
  <c r="AC40" i="39"/>
  <c r="AE39" i="20"/>
  <c r="AC40" i="20"/>
  <c r="AC41" i="39" l="1"/>
  <c r="AE40" i="39"/>
  <c r="AH40" i="39" s="1"/>
  <c r="AC41" i="20"/>
  <c r="AE40" i="20"/>
  <c r="AE41" i="39" l="1"/>
  <c r="AH41" i="39" s="1"/>
  <c r="AC42" i="39"/>
  <c r="AE41" i="20"/>
  <c r="AC42" i="20"/>
  <c r="AE42" i="39" l="1"/>
  <c r="AH42" i="39" s="1"/>
  <c r="AC43" i="39"/>
  <c r="AE42" i="20"/>
  <c r="AE43" i="39" l="1"/>
  <c r="AH43" i="39" s="1"/>
  <c r="AC44" i="39"/>
  <c r="AE43" i="20"/>
  <c r="AC44" i="20"/>
  <c r="AE44" i="39" l="1"/>
  <c r="AH44" i="39" s="1"/>
  <c r="AC45" i="39"/>
  <c r="AE44" i="20"/>
  <c r="AE45" i="39" l="1"/>
  <c r="AH45" i="39" s="1"/>
  <c r="AC46" i="39"/>
  <c r="AC46" i="20"/>
  <c r="AE45" i="20"/>
  <c r="AE46" i="39" l="1"/>
  <c r="AH46" i="39" s="1"/>
  <c r="AC47" i="39"/>
  <c r="AC47" i="20"/>
  <c r="AE46" i="20"/>
  <c r="AC48" i="39" l="1"/>
  <c r="AE47" i="39"/>
  <c r="AH47" i="39" s="1"/>
  <c r="AE47" i="20"/>
  <c r="AC48" i="20"/>
  <c r="AE48" i="39" l="1"/>
  <c r="AH48" i="39" s="1"/>
  <c r="AC49" i="39"/>
  <c r="AE48" i="20"/>
  <c r="AC49" i="20"/>
  <c r="AC50" i="39" l="1"/>
  <c r="AE49" i="39"/>
  <c r="AH49" i="39" s="1"/>
  <c r="AC50" i="20"/>
  <c r="AE49" i="20"/>
  <c r="AE50" i="39" l="1"/>
  <c r="AH50" i="39" s="1"/>
  <c r="AC51" i="39"/>
  <c r="AE50" i="20"/>
  <c r="AC51" i="20"/>
  <c r="AE51" i="39" l="1"/>
  <c r="AH51" i="39" s="1"/>
  <c r="AC52" i="39"/>
  <c r="AE51" i="20"/>
  <c r="AC52" i="20"/>
  <c r="AE52" i="39" l="1"/>
  <c r="AH52" i="39" s="1"/>
  <c r="AC53" i="39"/>
  <c r="AC53" i="20"/>
  <c r="AE52" i="20"/>
  <c r="AE53" i="39" l="1"/>
  <c r="AH53" i="39" s="1"/>
  <c r="AC54" i="39"/>
  <c r="AC54" i="20"/>
  <c r="AE53" i="20"/>
  <c r="AE54" i="39" l="1"/>
  <c r="AH54" i="39" s="1"/>
  <c r="AC55" i="39"/>
  <c r="AE54" i="20"/>
  <c r="AC55" i="20"/>
  <c r="AE55" i="39" l="1"/>
  <c r="AH55" i="39" s="1"/>
  <c r="AC56" i="39"/>
  <c r="AE55" i="20"/>
  <c r="AC56" i="20"/>
  <c r="AE56" i="39" l="1"/>
  <c r="AH56" i="39" s="1"/>
  <c r="AC57" i="39"/>
  <c r="AE56" i="20"/>
  <c r="AC57" i="20"/>
  <c r="AC58" i="39" l="1"/>
  <c r="AE57" i="39"/>
  <c r="AH57" i="39" s="1"/>
  <c r="AC58" i="20"/>
  <c r="AE57" i="20"/>
  <c r="AC59" i="39" l="1"/>
  <c r="AE58" i="39"/>
  <c r="AH58" i="39" s="1"/>
  <c r="AE58" i="20"/>
  <c r="AC59" i="20"/>
  <c r="AE59" i="39" l="1"/>
  <c r="AH59" i="39" s="1"/>
  <c r="AC60" i="39"/>
  <c r="AE59" i="20"/>
  <c r="AC60" i="20"/>
  <c r="AC61" i="39" l="1"/>
  <c r="AE60" i="39"/>
  <c r="AH60" i="39" s="1"/>
  <c r="AC61" i="20"/>
  <c r="AE60" i="20"/>
  <c r="AE61" i="39" l="1"/>
  <c r="AH61" i="39" s="1"/>
  <c r="AC62" i="39"/>
  <c r="AC62" i="20"/>
  <c r="AE61" i="20"/>
  <c r="AE62" i="39" l="1"/>
  <c r="AH62" i="39" s="1"/>
  <c r="AC63" i="39"/>
  <c r="AE62" i="20"/>
  <c r="AC63" i="20"/>
  <c r="AE63" i="39" l="1"/>
  <c r="AH63" i="39" s="1"/>
  <c r="AC64" i="39"/>
  <c r="AC64" i="20"/>
  <c r="AE63" i="20"/>
  <c r="AE64" i="39" l="1"/>
  <c r="AH64" i="39" s="1"/>
  <c r="AC65" i="39"/>
  <c r="AE64" i="20"/>
  <c r="AC65" i="20"/>
  <c r="AC66" i="39" l="1"/>
  <c r="AE65" i="39"/>
  <c r="AH65" i="39" s="1"/>
  <c r="AE65" i="20"/>
  <c r="AC66" i="20"/>
  <c r="AE66" i="39" l="1"/>
  <c r="AH66" i="39" s="1"/>
  <c r="AC67" i="39"/>
  <c r="AE66" i="20"/>
  <c r="AC67" i="20"/>
  <c r="AC68" i="39" l="1"/>
  <c r="AE67" i="39"/>
  <c r="AH67" i="39" s="1"/>
  <c r="AC68" i="20"/>
  <c r="AE67" i="20"/>
  <c r="AE68" i="39" l="1"/>
  <c r="AH68" i="39" s="1"/>
  <c r="AC69" i="39"/>
  <c r="AC69" i="20"/>
  <c r="AE68" i="20"/>
  <c r="AC70" i="39" l="1"/>
  <c r="AE69" i="39"/>
  <c r="AH69" i="39" s="1"/>
  <c r="AE69" i="20"/>
  <c r="AC70" i="20"/>
  <c r="AC71" i="39" l="1"/>
  <c r="AE70" i="39"/>
  <c r="AH70" i="39" s="1"/>
  <c r="AE70" i="20"/>
  <c r="AC71" i="20"/>
  <c r="AE71" i="39" l="1"/>
  <c r="AH71" i="39" s="1"/>
  <c r="AC72" i="39"/>
  <c r="AE71" i="20"/>
  <c r="AC72" i="20"/>
  <c r="AE72" i="39" l="1"/>
  <c r="AH72" i="39" s="1"/>
  <c r="AC73" i="39"/>
  <c r="AE72" i="20"/>
  <c r="AC73" i="20"/>
  <c r="AC74" i="39" l="1"/>
  <c r="AE73" i="39"/>
  <c r="AH73" i="39" s="1"/>
  <c r="AE73" i="20"/>
  <c r="AC74" i="20"/>
  <c r="AC75" i="39" l="1"/>
  <c r="AE74" i="39"/>
  <c r="AH74" i="39" s="1"/>
  <c r="AE74" i="20"/>
  <c r="AC75" i="20"/>
  <c r="AE75" i="39" l="1"/>
  <c r="AH75" i="39" s="1"/>
  <c r="AC76" i="39"/>
  <c r="AC76" i="20"/>
  <c r="AE75" i="20"/>
  <c r="AC77" i="39" l="1"/>
  <c r="AE76" i="39"/>
  <c r="AH76" i="39" s="1"/>
  <c r="AC77" i="20"/>
  <c r="AE76" i="20"/>
  <c r="AE77" i="39" l="1"/>
  <c r="AH77" i="39" s="1"/>
  <c r="AC78" i="39"/>
  <c r="AE77" i="20"/>
  <c r="AC78" i="20"/>
  <c r="AE78" i="39" l="1"/>
  <c r="AH78" i="39" s="1"/>
  <c r="AC79" i="39"/>
  <c r="AC79" i="20"/>
  <c r="AE78" i="20"/>
  <c r="AE79" i="39" l="1"/>
  <c r="AH79" i="39" s="1"/>
  <c r="AC80" i="39"/>
  <c r="AE79" i="20"/>
  <c r="AC80" i="20"/>
  <c r="AC81" i="39" l="1"/>
  <c r="AE80" i="39"/>
  <c r="AH80" i="39" s="1"/>
  <c r="AE80" i="20"/>
  <c r="AC81" i="20"/>
  <c r="AC82" i="39" l="1"/>
  <c r="AE81" i="39"/>
  <c r="AH81" i="39" s="1"/>
  <c r="AC82" i="20"/>
  <c r="AE81" i="20"/>
  <c r="AE82" i="39" l="1"/>
  <c r="AC83" i="39"/>
  <c r="AE82" i="20"/>
  <c r="AC83" i="20"/>
  <c r="AC84" i="39" l="1"/>
  <c r="AE83" i="39"/>
  <c r="AH83" i="39" s="1"/>
  <c r="AH82" i="39"/>
  <c r="AC84" i="20"/>
  <c r="AE83" i="20"/>
  <c r="AE84" i="39" l="1"/>
  <c r="AC85" i="39"/>
  <c r="AC85" i="20"/>
  <c r="AE84" i="20"/>
  <c r="AH84" i="39" l="1"/>
  <c r="AE85" i="39"/>
  <c r="AH85" i="39" s="1"/>
  <c r="AC86" i="39"/>
  <c r="AC86" i="20"/>
  <c r="AE85" i="20"/>
  <c r="AE86" i="39" l="1"/>
  <c r="AH86" i="39" s="1"/>
  <c r="AC87" i="39"/>
  <c r="AE86" i="20"/>
  <c r="AC87" i="20"/>
  <c r="AE87" i="39" l="1"/>
  <c r="AC88" i="39"/>
  <c r="AE87" i="20"/>
  <c r="AC88" i="20"/>
  <c r="AC89" i="39" l="1"/>
  <c r="AE88" i="39"/>
  <c r="AH88" i="39" s="1"/>
  <c r="AH87" i="39"/>
  <c r="AC89" i="20"/>
  <c r="AE88" i="20"/>
  <c r="AC90" i="39" l="1"/>
  <c r="AE89" i="39"/>
  <c r="AE89" i="20"/>
  <c r="AC90" i="20"/>
  <c r="AH89" i="39" l="1"/>
  <c r="AC91" i="39"/>
  <c r="AE90" i="39"/>
  <c r="AH90" i="39" s="1"/>
  <c r="AC91" i="20"/>
  <c r="AE90" i="20"/>
  <c r="AE91" i="39" l="1"/>
  <c r="AH91" i="39" s="1"/>
  <c r="AC92" i="39"/>
  <c r="AC92" i="20"/>
  <c r="AE91" i="20"/>
  <c r="AC93" i="39" l="1"/>
  <c r="AE92" i="39"/>
  <c r="AH92" i="39" s="1"/>
  <c r="AE92" i="20"/>
  <c r="AC93" i="20"/>
  <c r="AC94" i="39" l="1"/>
  <c r="AE93" i="39"/>
  <c r="AH93" i="39" s="1"/>
  <c r="AE93" i="20"/>
  <c r="AC94" i="20"/>
  <c r="AC95" i="39" l="1"/>
  <c r="AE94" i="39"/>
  <c r="AH94" i="39" s="1"/>
  <c r="AE94" i="20"/>
  <c r="AC95" i="20"/>
  <c r="AE95" i="39" l="1"/>
  <c r="AH95" i="39" s="1"/>
  <c r="AC96" i="39"/>
  <c r="AE95" i="20"/>
  <c r="AC96" i="20"/>
  <c r="AE96" i="39" l="1"/>
  <c r="AH96" i="39" s="1"/>
  <c r="AC97" i="39"/>
  <c r="AE96" i="20"/>
  <c r="AC97" i="20"/>
  <c r="AC98" i="39" l="1"/>
  <c r="AE97" i="39"/>
  <c r="AH97" i="39" s="1"/>
  <c r="AC98" i="20"/>
  <c r="AE97" i="20"/>
  <c r="AC99" i="39" l="1"/>
  <c r="AE98" i="39"/>
  <c r="AH98" i="39" s="1"/>
  <c r="AE98" i="20"/>
  <c r="AC99" i="20"/>
  <c r="AE99" i="20" s="1"/>
  <c r="AE102" i="20" s="1"/>
  <c r="AE103" i="20" s="1"/>
  <c r="AH98" i="20" l="1"/>
  <c r="D114" i="20"/>
  <c r="AE99" i="39"/>
  <c r="AH99" i="39" s="1"/>
  <c r="AC100" i="39"/>
  <c r="AE100" i="39" s="1"/>
  <c r="AH99" i="20"/>
  <c r="AH14" i="20"/>
  <c r="AH22" i="20"/>
  <c r="AH30" i="20"/>
  <c r="AH38" i="20"/>
  <c r="AH46" i="20"/>
  <c r="AH54" i="20"/>
  <c r="AH62" i="20"/>
  <c r="AH70" i="20"/>
  <c r="AH78" i="20"/>
  <c r="AH86" i="20"/>
  <c r="AH6" i="20"/>
  <c r="AH15" i="20"/>
  <c r="AH23" i="20"/>
  <c r="AH31" i="20"/>
  <c r="AH39" i="20"/>
  <c r="AH47" i="20"/>
  <c r="AH55" i="20"/>
  <c r="AH63" i="20"/>
  <c r="AH71" i="20"/>
  <c r="AH79" i="20"/>
  <c r="AH87" i="20"/>
  <c r="AH85" i="20"/>
  <c r="AH9" i="20"/>
  <c r="AH16" i="20"/>
  <c r="AH24" i="20"/>
  <c r="AH32" i="20"/>
  <c r="AH40" i="20"/>
  <c r="AH48" i="20"/>
  <c r="AH56" i="20"/>
  <c r="AH64" i="20"/>
  <c r="AH72" i="20"/>
  <c r="AH80" i="20"/>
  <c r="AH88" i="20"/>
  <c r="AH8" i="20"/>
  <c r="AH17" i="20"/>
  <c r="AH25" i="20"/>
  <c r="AH33" i="20"/>
  <c r="AH41" i="20"/>
  <c r="AH49" i="20"/>
  <c r="AH57" i="20"/>
  <c r="AH65" i="20"/>
  <c r="AH73" i="20"/>
  <c r="AH81" i="20"/>
  <c r="AH89" i="20"/>
  <c r="AH10" i="20"/>
  <c r="AH18" i="20"/>
  <c r="AH26" i="20"/>
  <c r="AH34" i="20"/>
  <c r="AH42" i="20"/>
  <c r="AH50" i="20"/>
  <c r="AH58" i="20"/>
  <c r="AH66" i="20"/>
  <c r="AH74" i="20"/>
  <c r="AH82" i="20"/>
  <c r="AH90" i="20"/>
  <c r="AH76" i="20"/>
  <c r="AH11" i="20"/>
  <c r="AH19" i="20"/>
  <c r="AH27" i="20"/>
  <c r="AH35" i="20"/>
  <c r="AH43" i="20"/>
  <c r="AH51" i="20"/>
  <c r="AH59" i="20"/>
  <c r="AH67" i="20"/>
  <c r="AH75" i="20"/>
  <c r="AH83" i="20"/>
  <c r="AH91" i="20"/>
  <c r="AH77" i="20"/>
  <c r="AH12" i="20"/>
  <c r="AH20" i="20"/>
  <c r="AH28" i="20"/>
  <c r="AH36" i="20"/>
  <c r="AH44" i="20"/>
  <c r="AH52" i="20"/>
  <c r="AH60" i="20"/>
  <c r="AH68" i="20"/>
  <c r="AH84" i="20"/>
  <c r="AH13" i="20"/>
  <c r="AH21" i="20"/>
  <c r="AH29" i="20"/>
  <c r="AH37" i="20"/>
  <c r="AH45" i="20"/>
  <c r="AH53" i="20"/>
  <c r="AH61" i="20"/>
  <c r="AH69" i="20"/>
  <c r="AH7" i="20"/>
  <c r="AH92" i="20"/>
  <c r="AH93" i="20"/>
  <c r="AH94" i="20"/>
  <c r="AH95" i="20"/>
  <c r="AH96" i="20"/>
  <c r="AH97" i="20"/>
  <c r="D117" i="20" l="1"/>
  <c r="D116" i="20" s="1"/>
  <c r="G114" i="20"/>
  <c r="AH100" i="39"/>
  <c r="AH102" i="39" s="1"/>
  <c r="AE102" i="39"/>
  <c r="AE103" i="39" s="1"/>
  <c r="F113" i="39" s="1"/>
  <c r="AH101" i="20"/>
</calcChain>
</file>

<file path=xl/sharedStrings.xml><?xml version="1.0" encoding="utf-8"?>
<sst xmlns="http://schemas.openxmlformats.org/spreadsheetml/2006/main" count="422" uniqueCount="267">
  <si>
    <t>cm</t>
  </si>
  <si>
    <t>kg</t>
  </si>
  <si>
    <t>lbs</t>
  </si>
  <si>
    <t>density</t>
  </si>
  <si>
    <t>in</t>
  </si>
  <si>
    <t>psi</t>
  </si>
  <si>
    <t>lb</t>
  </si>
  <si>
    <t>Left end length (in)</t>
  </si>
  <si>
    <t>total weight</t>
  </si>
  <si>
    <t>Bearing span (in)</t>
  </si>
  <si>
    <t>Right end length (in)</t>
  </si>
  <si>
    <t>coupling</t>
  </si>
  <si>
    <t>4W/N</t>
  </si>
  <si>
    <t>N</t>
  </si>
  <si>
    <t>W</t>
  </si>
  <si>
    <t>oz*in</t>
  </si>
  <si>
    <t>rpm</t>
  </si>
  <si>
    <t>mcs</t>
  </si>
  <si>
    <t>min speed</t>
  </si>
  <si>
    <t>trip</t>
  </si>
  <si>
    <t>125% of trip</t>
  </si>
  <si>
    <t>actual 4W/N</t>
  </si>
  <si>
    <t>2 * 4W/N</t>
  </si>
  <si>
    <t>coupling unbalance</t>
  </si>
  <si>
    <t>Wcpling</t>
  </si>
  <si>
    <t>40W/N</t>
  </si>
  <si>
    <t>2 * 40W/N</t>
  </si>
  <si>
    <t>Bearing span</t>
  </si>
  <si>
    <t>midspan diameter</t>
  </si>
  <si>
    <t>Lb/Dm</t>
  </si>
  <si>
    <t>1st rigid critical</t>
  </si>
  <si>
    <t>critical speed ratio</t>
  </si>
  <si>
    <t>Bearing horizontal stiffness</t>
  </si>
  <si>
    <t>Bearing vertical stiffness</t>
  </si>
  <si>
    <t>Average bearing stiffness</t>
  </si>
  <si>
    <t>Shaft stiffness</t>
  </si>
  <si>
    <t>stiffness ratio</t>
  </si>
  <si>
    <t>Rotor weight</t>
  </si>
  <si>
    <t>lb/in</t>
  </si>
  <si>
    <t>modal mass</t>
  </si>
  <si>
    <t>weight</t>
  </si>
  <si>
    <t>mm</t>
  </si>
  <si>
    <t>Rigid bearing criticals</t>
  </si>
  <si>
    <t>hp</t>
  </si>
  <si>
    <t>bearing span</t>
  </si>
  <si>
    <t>length</t>
  </si>
  <si>
    <t>OD Weight</t>
  </si>
  <si>
    <t>OD K</t>
  </si>
  <si>
    <t>ID W</t>
  </si>
  <si>
    <t>section weight</t>
  </si>
  <si>
    <t>added weight</t>
  </si>
  <si>
    <t>Ip</t>
  </si>
  <si>
    <t>Stiffness</t>
  </si>
  <si>
    <t>Kg/cm</t>
  </si>
  <si>
    <t>flowrate</t>
  </si>
  <si>
    <t>gpm</t>
  </si>
  <si>
    <t>liter/min</t>
  </si>
  <si>
    <t>temperature</t>
  </si>
  <si>
    <t>deg F</t>
  </si>
  <si>
    <t>Deg C</t>
  </si>
  <si>
    <t>damping</t>
  </si>
  <si>
    <t>lbf-sec/in</t>
  </si>
  <si>
    <t>kg-s/cm</t>
  </si>
  <si>
    <t>pressure</t>
  </si>
  <si>
    <t>bar</t>
  </si>
  <si>
    <t>power</t>
  </si>
  <si>
    <t>kw</t>
  </si>
  <si>
    <t>Unbalance case</t>
  </si>
  <si>
    <t>station numbers</t>
  </si>
  <si>
    <t>rotor location</t>
  </si>
  <si>
    <t>relative level</t>
  </si>
  <si>
    <t>A</t>
  </si>
  <si>
    <t>B</t>
  </si>
  <si>
    <t>C</t>
  </si>
  <si>
    <t>2 x (4W/N)</t>
  </si>
  <si>
    <t>2 x (40Wcpling/N)</t>
  </si>
  <si>
    <t>quarter spans</t>
  </si>
  <si>
    <t>N/mm</t>
  </si>
  <si>
    <t>Mag (oz*in)</t>
  </si>
  <si>
    <t>Mag (g*mm)</t>
  </si>
  <si>
    <t>lbf*s^2/in</t>
  </si>
  <si>
    <t>microns</t>
  </si>
  <si>
    <t>10^1</t>
  </si>
  <si>
    <t>10^0</t>
  </si>
  <si>
    <t>10^-1</t>
  </si>
  <si>
    <t>10^-2</t>
  </si>
  <si>
    <t>10^-3</t>
  </si>
  <si>
    <t>MHI Bode plots</t>
  </si>
  <si>
    <t>10^2</t>
  </si>
  <si>
    <t>length (in)</t>
  </si>
  <si>
    <t>It</t>
  </si>
  <si>
    <t>Date</t>
  </si>
  <si>
    <t>Item #</t>
  </si>
  <si>
    <t>Length</t>
  </si>
  <si>
    <t>Length Cum</t>
  </si>
  <si>
    <t>Label</t>
  </si>
  <si>
    <t>Station</t>
  </si>
  <si>
    <t>Sect Weight</t>
  </si>
  <si>
    <t>lbf/in3</t>
  </si>
  <si>
    <t>lbf</t>
  </si>
  <si>
    <t>mils</t>
  </si>
  <si>
    <t>Added W</t>
  </si>
  <si>
    <t>total length (in)</t>
  </si>
  <si>
    <t>total weight (lb)</t>
  </si>
  <si>
    <t>Axial Preload</t>
  </si>
  <si>
    <t>Tapered</t>
  </si>
  <si>
    <t>E</t>
  </si>
  <si>
    <t>ν</t>
  </si>
  <si>
    <t>Total Length</t>
  </si>
  <si>
    <t>drawings total length</t>
  </si>
  <si>
    <t>Drawings bearing length</t>
  </si>
  <si>
    <t>Rotor Model</t>
  </si>
  <si>
    <t>BRG calc</t>
  </si>
  <si>
    <t>With gyro</t>
  </si>
  <si>
    <t>No Gyro</t>
  </si>
  <si>
    <t>Clg 2</t>
  </si>
  <si>
    <t>Cplg 1</t>
  </si>
  <si>
    <t>Mid Span</t>
  </si>
  <si>
    <t>OD M</t>
  </si>
  <si>
    <t>API's Vibration Limit</t>
  </si>
  <si>
    <t>(kg/m3)</t>
  </si>
  <si>
    <t>(kg)</t>
  </si>
  <si>
    <t>(kg-m2)</t>
  </si>
  <si>
    <t>(mm)</t>
  </si>
  <si>
    <t>Young's Modulus</t>
  </si>
  <si>
    <t>(Gpa)</t>
  </si>
  <si>
    <t>From SI model</t>
  </si>
  <si>
    <t>total length (mm)</t>
  </si>
  <si>
    <t>total weight (kg)</t>
  </si>
  <si>
    <t>Left end length (mm)</t>
  </si>
  <si>
    <t>Bearing span (mm)</t>
  </si>
  <si>
    <t>Right end length (mm)</t>
  </si>
  <si>
    <t>Revelant Documents</t>
  </si>
  <si>
    <t>Document Number</t>
  </si>
  <si>
    <t>Description</t>
  </si>
  <si>
    <t>Crit Clear (min)</t>
  </si>
  <si>
    <t>Crit Clear (Avg)</t>
  </si>
  <si>
    <t>Crit Clear (max)</t>
  </si>
  <si>
    <t>Crit Clear (avg)</t>
  </si>
  <si>
    <t>Crit Clear(max)</t>
  </si>
  <si>
    <t>Balance Quality</t>
  </si>
  <si>
    <t>G</t>
  </si>
  <si>
    <t>Speed</t>
  </si>
  <si>
    <t>Eccentricity</t>
  </si>
  <si>
    <t>Unbalance</t>
  </si>
  <si>
    <t>gr*mm</t>
  </si>
  <si>
    <t>oz-in</t>
  </si>
  <si>
    <t>half</t>
  </si>
  <si>
    <t>ID K</t>
  </si>
  <si>
    <t>lb/in3</t>
  </si>
  <si>
    <t>kg/m3</t>
  </si>
  <si>
    <t>inertia</t>
  </si>
  <si>
    <t>kg-m2</t>
  </si>
  <si>
    <t>lbm-in2</t>
  </si>
  <si>
    <t>IDW</t>
  </si>
  <si>
    <t>29W/N</t>
  </si>
  <si>
    <t>g-mm</t>
  </si>
  <si>
    <t>D</t>
  </si>
  <si>
    <t>39 &amp; 49</t>
  </si>
  <si>
    <t>29 and 63</t>
  </si>
  <si>
    <t>Ends</t>
  </si>
  <si>
    <t>29 x (4W/N)</t>
  </si>
  <si>
    <t>quarter spans in phase</t>
  </si>
  <si>
    <t>runout</t>
  </si>
  <si>
    <t>expected</t>
  </si>
  <si>
    <t>(LB/IN)</t>
  </si>
  <si>
    <t>Pivot Stiff=</t>
  </si>
  <si>
    <t>0.56530E-04(IN)</t>
  </si>
  <si>
    <t>Pivot Deform=</t>
  </si>
  <si>
    <t>Pad #</t>
  </si>
  <si>
    <t>0.94816E-04(IN)</t>
  </si>
  <si>
    <t>0.56513E-04(IN)</t>
  </si>
  <si>
    <t>0.26230E-04(IN)</t>
  </si>
  <si>
    <t>0.26218E-04(IN)</t>
  </si>
  <si>
    <t>Pivot stiffness</t>
  </si>
  <si>
    <t>This is why the preload range cannot be calculated by using the full range of bearing clearance and pad clearance.</t>
  </si>
  <si>
    <t xml:space="preserve">Please note that the shaft diameter must be consistent (Max or Min) for each calculation.  One cannot use Max shaft diameter and Min shaft diameter simultanrously in the same calculation.  </t>
  </si>
  <si>
    <t>Maximum preload = 1 - ((Min set bore diameter - Max shaft diameter)/(Max pad diameter - Max shaft diameter)</t>
  </si>
  <si>
    <t>Minimum preload = 1 - ((Max set bore diameter - Min shaft diameter)/(Min pad diameter - Min shaft diameter)</t>
  </si>
  <si>
    <t>Preload</t>
  </si>
  <si>
    <t>Pad Clearance</t>
  </si>
  <si>
    <t>Bearing clearance</t>
  </si>
  <si>
    <t>Bearing set bore Diameter</t>
  </si>
  <si>
    <t>Pad diameter</t>
  </si>
  <si>
    <t>shaft diameter</t>
  </si>
  <si>
    <t>Nominal</t>
  </si>
  <si>
    <t>Max</t>
  </si>
  <si>
    <t>Min</t>
  </si>
  <si>
    <t>Inches</t>
  </si>
  <si>
    <t>SI Units</t>
  </si>
  <si>
    <t>cold clearance</t>
  </si>
  <si>
    <t>Stat Mass</t>
  </si>
  <si>
    <t>(lbm)</t>
  </si>
  <si>
    <t>L*M</t>
  </si>
  <si>
    <t>(mm*kg)</t>
  </si>
  <si>
    <t>L Ref</t>
  </si>
  <si>
    <t>Sum L*M</t>
  </si>
  <si>
    <t>CG</t>
  </si>
  <si>
    <t>Rotor CG (mm)</t>
  </si>
  <si>
    <t>Taper</t>
  </si>
  <si>
    <t>CG Ref</t>
  </si>
  <si>
    <t>(in*lbm)</t>
  </si>
  <si>
    <t>sum(L*M)</t>
  </si>
  <si>
    <t>Rotor CG(in)</t>
  </si>
  <si>
    <t>Load Left Bearing (lbf)</t>
  </si>
  <si>
    <t>Load right bearing (lbf)</t>
  </si>
  <si>
    <t>Section IP</t>
  </si>
  <si>
    <t>Section IT</t>
  </si>
  <si>
    <t>(lb-in2)</t>
  </si>
  <si>
    <t>(lbm-in2)</t>
  </si>
  <si>
    <t>Station IP</t>
  </si>
  <si>
    <t>Station IT</t>
  </si>
  <si>
    <t>IT to CG</t>
  </si>
  <si>
    <t>Torsion</t>
  </si>
  <si>
    <t>Length Red</t>
  </si>
  <si>
    <t>(0/1)</t>
  </si>
  <si>
    <t>(N)</t>
  </si>
  <si>
    <t>PF</t>
  </si>
  <si>
    <t>lbm*in^2</t>
  </si>
  <si>
    <t>(Text)</t>
  </si>
  <si>
    <t>Penetration factor</t>
  </si>
  <si>
    <t>Length reduction</t>
  </si>
  <si>
    <t>ID M</t>
  </si>
  <si>
    <t>Poisson Ratio</t>
  </si>
  <si>
    <t>(dim)</t>
  </si>
  <si>
    <t>OffsetMag (in)</t>
  </si>
  <si>
    <t>Offset Phase (deg)</t>
  </si>
  <si>
    <t>Generate Unbalance (0/1)</t>
  </si>
  <si>
    <t>Offset</t>
  </si>
  <si>
    <t>Mag</t>
  </si>
  <si>
    <t>Phase</t>
  </si>
  <si>
    <t>Gen Unb</t>
  </si>
  <si>
    <t>(in)</t>
  </si>
  <si>
    <t>(deg)</t>
  </si>
  <si>
    <t>Gen Stress</t>
  </si>
  <si>
    <t>Gen Stre</t>
  </si>
  <si>
    <t>Generate Stress (0/1)</t>
  </si>
  <si>
    <t>cumulative (from thrust)</t>
  </si>
  <si>
    <t>cumulative from thrust</t>
  </si>
  <si>
    <t>from drawings</t>
  </si>
  <si>
    <t>By JMB</t>
  </si>
  <si>
    <t>Notes</t>
  </si>
  <si>
    <t>Lots of guesswork in this model.  Don't know the shaft OD under the impellers.  Don't know the impeller bore, nor the weight, nor the CG, nor the inertia properties.  Don't know the ID of the balance piston.</t>
  </si>
  <si>
    <t>Mode comparison</t>
  </si>
  <si>
    <t>Mode number</t>
  </si>
  <si>
    <t>% difference</t>
  </si>
  <si>
    <t>(data sheet)</t>
  </si>
  <si>
    <t>NDE Probe</t>
  </si>
  <si>
    <t>DE Probe</t>
  </si>
  <si>
    <t>Cpl</t>
  </si>
  <si>
    <t xml:space="preserve">disk E </t>
  </si>
  <si>
    <t>MID AMB</t>
  </si>
  <si>
    <t xml:space="preserve">disk C </t>
  </si>
  <si>
    <t xml:space="preserve">NDE AMB </t>
  </si>
  <si>
    <t xml:space="preserve">DE AMB </t>
  </si>
  <si>
    <t>Drawings</t>
  </si>
  <si>
    <t>RotorBRG</t>
  </si>
  <si>
    <t>QTR AMB</t>
  </si>
  <si>
    <t>Number of Modes</t>
  </si>
  <si>
    <t xml:space="preserve">Number of Stations </t>
  </si>
  <si>
    <t>Model Hz</t>
  </si>
  <si>
    <t>Ring Test Hz</t>
  </si>
  <si>
    <t>% Diff</t>
  </si>
  <si>
    <t>Mode Shapes</t>
  </si>
  <si>
    <t>Axial Location</t>
  </si>
  <si>
    <t>Model 1</t>
  </si>
  <si>
    <t>Ring Test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</si>
</sst>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_(* \(#,##0\);_(* &quot;-&quot;??_);_(@_)"/>
    <numFmt numFmtId="165" formatCode="0.000"/>
    <numFmt numFmtId="166" formatCode="#,##0.000"/>
    <numFmt numFmtId="167" formatCode="0.0000"/>
    <numFmt numFmtId="168" formatCode="#,##0.0"/>
    <numFmt numFmtId="169" formatCode="_(* #,##0.0000_);_(* \(#,##0.0000\);_(* &quot;-&quot;??_);_(@_)"/>
    <numFmt numFmtId="170" formatCode="_(* #,##0.0_);_(* \(#,##0.0\);_(* &quot;-&quot;??_);_(@_)"/>
    <numFmt numFmtId="171" formatCode="0.0%"/>
  </numFmts>
  <fonts count="14" x14ac:knownFonts="1">
    <font>
      <sz val="10"/>
      <name val="Arial"/>
    </font>
    <font>
      <b/>
      <sz val="10"/>
      <name val="Arial"/>
      <family val="2"/>
    </font>
    <font>
      <sz val="10"/>
      <name val="Arial"/>
      <family val="2"/>
    </font>
    <font>
      <b/>
      <sz val="10"/>
      <name val="Arial"/>
      <family val="2"/>
    </font>
    <font>
      <sz val="10"/>
      <name val="Arial"/>
      <family val="2"/>
    </font>
    <font>
      <sz val="10"/>
      <name val="Arial"/>
      <family val="2"/>
    </font>
    <font>
      <sz val="10"/>
      <name val="Arial"/>
      <family val="2"/>
    </font>
    <font>
      <b/>
      <sz val="10"/>
      <name val="Calibri"/>
      <family val="2"/>
    </font>
    <font>
      <sz val="11"/>
      <color theme="1"/>
      <name val="Calibri"/>
      <family val="2"/>
      <scheme val="minor"/>
    </font>
    <font>
      <sz val="10"/>
      <name val="Arial"/>
      <family val="2"/>
    </font>
    <font>
      <b/>
      <sz val="9"/>
      <name val="Arial"/>
      <family val="2"/>
    </font>
    <font>
      <b/>
      <sz val="8"/>
      <name val="Arial"/>
      <family val="2"/>
    </font>
    <font>
      <sz val="10"/>
      <name val="Arial"/>
      <family val="2"/>
    </font>
    <font>
      <sz val="10"/>
      <color rgb="FF000000"/>
      <name val="Arial"/>
      <family val="2"/>
    </font>
  </fonts>
  <fills count="5">
    <fill>
      <patternFill patternType="none"/>
    </fill>
    <fill>
      <patternFill patternType="gray125"/>
    </fill>
    <fill>
      <patternFill patternType="solid">
        <fgColor rgb="FFFFFF00"/>
        <bgColor indexed="64"/>
      </patternFill>
    </fill>
    <fill>
      <patternFill patternType="solid">
        <fgColor indexed="13"/>
        <bgColor indexed="64"/>
      </patternFill>
    </fill>
    <fill>
      <patternFill patternType="solid">
        <fgColor rgb="FFFF0000"/>
        <bgColor indexed="64"/>
      </patternFill>
    </fill>
  </fills>
  <borders count="1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7">
    <xf numFmtId="0" fontId="0" fillId="0" borderId="0"/>
    <xf numFmtId="43" fontId="2" fillId="0" borderId="0" applyFont="0" applyFill="0" applyBorder="0" applyAlignment="0" applyProtection="0"/>
    <xf numFmtId="43" fontId="8" fillId="0" borderId="0" applyFont="0" applyFill="0" applyBorder="0" applyAlignment="0" applyProtection="0"/>
    <xf numFmtId="0" fontId="8" fillId="0" borderId="0"/>
    <xf numFmtId="0" fontId="9" fillId="0" borderId="0"/>
    <xf numFmtId="43" fontId="2" fillId="0" borderId="0" applyFont="0" applyFill="0" applyBorder="0" applyAlignment="0" applyProtection="0"/>
    <xf numFmtId="9" fontId="12" fillId="0" borderId="0" applyFont="0" applyFill="0" applyBorder="0" applyAlignment="0" applyProtection="0"/>
  </cellStyleXfs>
  <cellXfs count="133">
    <xf numFmtId="0" fontId="0" fillId="0" borderId="0" xfId="0"/>
    <xf numFmtId="2" fontId="1" fillId="0" borderId="0" xfId="0" applyNumberFormat="1" applyFont="1" applyAlignment="1">
      <alignment horizontal="center"/>
    </xf>
    <xf numFmtId="0" fontId="3" fillId="0" borderId="0" xfId="0" applyFont="1"/>
    <xf numFmtId="4" fontId="0" fillId="0" borderId="0" xfId="0" applyNumberFormat="1"/>
    <xf numFmtId="11" fontId="0" fillId="0" borderId="0" xfId="0" applyNumberFormat="1"/>
    <xf numFmtId="2" fontId="0" fillId="0" borderId="0" xfId="0" applyNumberFormat="1"/>
    <xf numFmtId="165" fontId="0" fillId="0" borderId="0" xfId="0" applyNumberFormat="1"/>
    <xf numFmtId="166" fontId="0" fillId="0" borderId="0" xfId="0" applyNumberFormat="1"/>
    <xf numFmtId="0" fontId="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2" fillId="0" borderId="1" xfId="0" applyFont="1" applyBorder="1"/>
    <xf numFmtId="0" fontId="2" fillId="0" borderId="4" xfId="0" applyFont="1" applyBorder="1"/>
    <xf numFmtId="0" fontId="2" fillId="0" borderId="6" xfId="0" applyFont="1" applyBorder="1"/>
    <xf numFmtId="167" fontId="0" fillId="0" borderId="0" xfId="0" applyNumberFormat="1"/>
    <xf numFmtId="165" fontId="0" fillId="0" borderId="8" xfId="0" applyNumberFormat="1" applyBorder="1"/>
    <xf numFmtId="164" fontId="0" fillId="0" borderId="3" xfId="1" applyNumberFormat="1" applyFont="1" applyBorder="1"/>
    <xf numFmtId="164" fontId="0" fillId="0" borderId="5" xfId="1" applyNumberFormat="1" applyFont="1" applyBorder="1"/>
    <xf numFmtId="164" fontId="0" fillId="0" borderId="7" xfId="1" applyNumberFormat="1" applyFont="1" applyBorder="1"/>
    <xf numFmtId="164" fontId="0" fillId="0" borderId="0" xfId="1" applyNumberFormat="1" applyFont="1" applyBorder="1"/>
    <xf numFmtId="0" fontId="0" fillId="0" borderId="0" xfId="0" applyAlignment="1">
      <alignment horizontal="center"/>
    </xf>
    <xf numFmtId="168" fontId="0" fillId="0" borderId="0" xfId="0" applyNumberFormat="1"/>
    <xf numFmtId="164" fontId="5" fillId="0" borderId="0" xfId="1" applyNumberFormat="1" applyFont="1" applyFill="1"/>
    <xf numFmtId="43" fontId="4" fillId="0" borderId="0" xfId="1" applyFont="1" applyFill="1"/>
    <xf numFmtId="164" fontId="0" fillId="0" borderId="0" xfId="1" applyNumberFormat="1" applyFont="1" applyFill="1"/>
    <xf numFmtId="0" fontId="0" fillId="0" borderId="9" xfId="0" applyBorder="1"/>
    <xf numFmtId="0" fontId="2" fillId="0" borderId="9" xfId="0" applyFont="1" applyBorder="1"/>
    <xf numFmtId="0" fontId="0" fillId="0" borderId="10" xfId="0" applyBorder="1"/>
    <xf numFmtId="0" fontId="0" fillId="0" borderId="11" xfId="0" applyBorder="1"/>
    <xf numFmtId="0" fontId="0" fillId="0" borderId="12" xfId="0" applyBorder="1"/>
    <xf numFmtId="0" fontId="0" fillId="0" borderId="13" xfId="0" applyBorder="1"/>
    <xf numFmtId="43" fontId="0" fillId="0" borderId="0" xfId="1" applyFont="1"/>
    <xf numFmtId="11" fontId="2" fillId="0" borderId="0" xfId="0" applyNumberFormat="1" applyFont="1"/>
    <xf numFmtId="11" fontId="2" fillId="0" borderId="0" xfId="1" applyNumberFormat="1" applyFont="1" applyFill="1"/>
    <xf numFmtId="43" fontId="0" fillId="0" borderId="0" xfId="0" applyNumberFormat="1"/>
    <xf numFmtId="165" fontId="0" fillId="0" borderId="9" xfId="0" applyNumberFormat="1" applyBorder="1"/>
    <xf numFmtId="0" fontId="0" fillId="0" borderId="14" xfId="0" applyBorder="1"/>
    <xf numFmtId="43" fontId="0" fillId="0" borderId="0" xfId="1" applyFont="1" applyFill="1"/>
    <xf numFmtId="164" fontId="6" fillId="2" borderId="0" xfId="1" applyNumberFormat="1" applyFont="1" applyFill="1"/>
    <xf numFmtId="14" fontId="0" fillId="0" borderId="0" xfId="0" applyNumberFormat="1"/>
    <xf numFmtId="14" fontId="2" fillId="0" borderId="0" xfId="0" applyNumberFormat="1" applyFont="1"/>
    <xf numFmtId="0" fontId="3" fillId="0" borderId="0" xfId="0" applyFont="1" applyAlignment="1">
      <alignment horizontal="center"/>
    </xf>
    <xf numFmtId="167" fontId="2" fillId="0" borderId="0" xfId="0" applyNumberFormat="1" applyFont="1"/>
    <xf numFmtId="166" fontId="2" fillId="0" borderId="0" xfId="0" applyNumberFormat="1" applyFont="1"/>
    <xf numFmtId="2" fontId="2" fillId="0" borderId="0" xfId="0" applyNumberFormat="1" applyFont="1"/>
    <xf numFmtId="1" fontId="2" fillId="0" borderId="0" xfId="0" applyNumberFormat="1" applyFont="1" applyAlignment="1">
      <alignment horizontal="left"/>
    </xf>
    <xf numFmtId="0" fontId="2" fillId="0" borderId="9" xfId="0" applyFont="1" applyBorder="1" applyAlignment="1">
      <alignment horizontal="right"/>
    </xf>
    <xf numFmtId="0" fontId="7" fillId="0" borderId="0" xfId="0" applyFont="1"/>
    <xf numFmtId="2" fontId="0" fillId="0" borderId="4" xfId="0" applyNumberFormat="1" applyBorder="1"/>
    <xf numFmtId="164" fontId="0" fillId="0" borderId="4" xfId="1" applyNumberFormat="1" applyFont="1" applyBorder="1"/>
    <xf numFmtId="165" fontId="0" fillId="0" borderId="4" xfId="0" applyNumberFormat="1" applyBorder="1"/>
    <xf numFmtId="165" fontId="0" fillId="0" borderId="6" xfId="0" applyNumberFormat="1" applyBorder="1"/>
    <xf numFmtId="0" fontId="0" fillId="0" borderId="15" xfId="0" applyBorder="1"/>
    <xf numFmtId="0" fontId="2" fillId="0" borderId="5" xfId="0" applyFont="1" applyBorder="1"/>
    <xf numFmtId="0" fontId="3" fillId="0" borderId="0" xfId="0" applyFont="1" applyAlignment="1">
      <alignment horizontal="left"/>
    </xf>
    <xf numFmtId="0" fontId="2" fillId="0" borderId="0" xfId="0" applyFont="1" applyAlignment="1">
      <alignment horizontal="right"/>
    </xf>
    <xf numFmtId="0" fontId="0" fillId="0" borderId="0" xfId="0" applyAlignment="1">
      <alignment horizontal="left"/>
    </xf>
    <xf numFmtId="0" fontId="0" fillId="0" borderId="0" xfId="1" applyNumberFormat="1" applyFont="1"/>
    <xf numFmtId="0" fontId="0" fillId="0" borderId="0" xfId="0" applyAlignment="1">
      <alignment horizontal="right"/>
    </xf>
    <xf numFmtId="0" fontId="2" fillId="0" borderId="0" xfId="0" applyFont="1" applyAlignment="1">
      <alignment horizontal="center"/>
    </xf>
    <xf numFmtId="0" fontId="9" fillId="0" borderId="0" xfId="4"/>
    <xf numFmtId="11" fontId="9" fillId="0" borderId="17" xfId="4" applyNumberFormat="1" applyBorder="1"/>
    <xf numFmtId="11" fontId="9" fillId="0" borderId="0" xfId="4" applyNumberFormat="1"/>
    <xf numFmtId="0" fontId="2" fillId="0" borderId="0" xfId="4" applyFont="1"/>
    <xf numFmtId="169" fontId="0" fillId="0" borderId="0" xfId="5" applyNumberFormat="1" applyFont="1"/>
    <xf numFmtId="43" fontId="0" fillId="0" borderId="0" xfId="5" applyFont="1"/>
    <xf numFmtId="43" fontId="0" fillId="0" borderId="0" xfId="5" applyFont="1" applyFill="1"/>
    <xf numFmtId="167" fontId="9" fillId="0" borderId="7" xfId="4" applyNumberFormat="1" applyBorder="1"/>
    <xf numFmtId="165" fontId="9" fillId="0" borderId="8" xfId="4" applyNumberFormat="1" applyBorder="1"/>
    <xf numFmtId="0" fontId="9" fillId="0" borderId="6" xfId="4" applyBorder="1"/>
    <xf numFmtId="0" fontId="9" fillId="0" borderId="7" xfId="4" applyBorder="1"/>
    <xf numFmtId="167" fontId="9" fillId="0" borderId="5" xfId="4" applyNumberFormat="1" applyBorder="1"/>
    <xf numFmtId="167" fontId="9" fillId="0" borderId="0" xfId="4" applyNumberFormat="1"/>
    <xf numFmtId="0" fontId="9" fillId="0" borderId="4" xfId="4" applyBorder="1"/>
    <xf numFmtId="0" fontId="9" fillId="0" borderId="5" xfId="4" applyBorder="1"/>
    <xf numFmtId="0" fontId="9" fillId="3" borderId="0" xfId="4" applyFill="1"/>
    <xf numFmtId="167" fontId="9" fillId="3" borderId="0" xfId="4" applyNumberFormat="1" applyFill="1"/>
    <xf numFmtId="167" fontId="9" fillId="0" borderId="3" xfId="4" applyNumberFormat="1" applyBorder="1"/>
    <xf numFmtId="167" fontId="9" fillId="0" borderId="2" xfId="4" applyNumberFormat="1" applyBorder="1"/>
    <xf numFmtId="0" fontId="9" fillId="0" borderId="1" xfId="4" applyBorder="1"/>
    <xf numFmtId="0" fontId="9" fillId="0" borderId="3" xfId="4" applyBorder="1"/>
    <xf numFmtId="0" fontId="9" fillId="3" borderId="2" xfId="4" applyFill="1" applyBorder="1"/>
    <xf numFmtId="167" fontId="9" fillId="3" borderId="2" xfId="4" applyNumberFormat="1" applyFill="1" applyBorder="1"/>
    <xf numFmtId="2" fontId="9" fillId="0" borderId="0" xfId="4" applyNumberFormat="1"/>
    <xf numFmtId="165" fontId="9" fillId="0" borderId="7" xfId="4" applyNumberFormat="1" applyBorder="1"/>
    <xf numFmtId="167" fontId="9" fillId="0" borderId="0" xfId="4" quotePrefix="1" applyNumberFormat="1"/>
    <xf numFmtId="0" fontId="9" fillId="0" borderId="2" xfId="4" applyBorder="1"/>
    <xf numFmtId="0" fontId="1" fillId="0" borderId="0" xfId="0" applyFont="1" applyAlignment="1">
      <alignment horizontal="center"/>
    </xf>
    <xf numFmtId="0" fontId="1" fillId="0" borderId="0" xfId="0" applyFont="1"/>
    <xf numFmtId="0" fontId="10" fillId="0" borderId="0" xfId="0" applyFont="1" applyAlignment="1">
      <alignment horizontal="center"/>
    </xf>
    <xf numFmtId="0" fontId="11" fillId="0" borderId="0" xfId="0" applyFont="1" applyAlignment="1">
      <alignment horizontal="center"/>
    </xf>
    <xf numFmtId="0" fontId="0" fillId="0" borderId="0" xfId="0" applyAlignment="1">
      <alignment horizontal="center" wrapText="1"/>
    </xf>
    <xf numFmtId="0" fontId="0" fillId="4" borderId="0" xfId="0" applyFill="1"/>
    <xf numFmtId="0" fontId="2" fillId="0" borderId="5" xfId="0" applyFont="1" applyBorder="1" applyAlignment="1">
      <alignment horizontal="center"/>
    </xf>
    <xf numFmtId="170" fontId="0" fillId="0" borderId="0" xfId="2" applyNumberFormat="1" applyFont="1" applyFill="1" applyBorder="1"/>
    <xf numFmtId="164" fontId="0" fillId="0" borderId="0" xfId="2" applyNumberFormat="1" applyFont="1" applyFill="1" applyBorder="1"/>
    <xf numFmtId="164" fontId="0" fillId="0" borderId="5" xfId="2" applyNumberFormat="1" applyFont="1" applyFill="1" applyBorder="1"/>
    <xf numFmtId="9" fontId="0" fillId="0" borderId="0" xfId="6" applyFont="1"/>
    <xf numFmtId="164" fontId="2" fillId="0" borderId="0" xfId="1" applyNumberFormat="1" applyFont="1"/>
    <xf numFmtId="43" fontId="0" fillId="0" borderId="0" xfId="0" quotePrefix="1" applyNumberFormat="1"/>
    <xf numFmtId="170" fontId="0" fillId="0" borderId="0" xfId="1" applyNumberFormat="1" applyFont="1"/>
    <xf numFmtId="164" fontId="0" fillId="0" borderId="0" xfId="1" applyNumberFormat="1" applyFont="1"/>
    <xf numFmtId="0" fontId="0" fillId="0" borderId="0" xfId="0" applyAlignment="1">
      <alignment wrapText="1"/>
    </xf>
    <xf numFmtId="0" fontId="2" fillId="4" borderId="0" xfId="0" applyFont="1" applyFill="1"/>
    <xf numFmtId="10" fontId="2" fillId="0" borderId="0" xfId="6" applyNumberFormat="1" applyFont="1"/>
    <xf numFmtId="171" fontId="0" fillId="0" borderId="0" xfId="6" applyNumberFormat="1" applyFont="1"/>
    <xf numFmtId="164" fontId="0" fillId="0" borderId="0" xfId="1" applyNumberFormat="1" applyFont="1" applyFill="1" applyAlignment="1">
      <alignment horizontal="center"/>
    </xf>
    <xf numFmtId="9" fontId="0" fillId="0" borderId="0" xfId="6" applyFont="1" applyFill="1"/>
    <xf numFmtId="0" fontId="0" fillId="2" borderId="0" xfId="0" applyFill="1" applyAlignment="1">
      <alignment horizontal="center"/>
    </xf>
    <xf numFmtId="43" fontId="0" fillId="0" borderId="0" xfId="1" applyFont="1" applyFill="1" applyAlignment="1">
      <alignment horizontal="center"/>
    </xf>
    <xf numFmtId="9" fontId="0" fillId="0" borderId="0" xfId="6" applyFont="1" applyFill="1" applyAlignment="1">
      <alignment horizontal="center"/>
    </xf>
    <xf numFmtId="0" fontId="2" fillId="2" borderId="0" xfId="0" applyFont="1" applyFill="1" applyAlignment="1">
      <alignment horizontal="center" wrapText="1"/>
    </xf>
    <xf numFmtId="1" fontId="0" fillId="0" borderId="0" xfId="0" applyNumberFormat="1" applyAlignment="1">
      <alignment horizontal="right"/>
    </xf>
    <xf numFmtId="0" fontId="0" fillId="0" borderId="0" xfId="0" applyAlignment="1">
      <alignment horizontal="right" wrapText="1"/>
    </xf>
    <xf numFmtId="43" fontId="0" fillId="2" borderId="0" xfId="1" applyFont="1" applyFill="1" applyAlignment="1">
      <alignment horizontal="right"/>
    </xf>
    <xf numFmtId="0" fontId="2" fillId="2" borderId="0" xfId="0" applyFont="1" applyFill="1"/>
    <xf numFmtId="165" fontId="0" fillId="2" borderId="0" xfId="0" applyNumberFormat="1" applyFill="1" applyAlignment="1">
      <alignment horizontal="center"/>
    </xf>
    <xf numFmtId="0" fontId="0" fillId="0" borderId="0" xfId="0" applyAlignment="1">
      <alignment horizontal="center"/>
    </xf>
    <xf numFmtId="0" fontId="2" fillId="0" borderId="0" xfId="0" applyFont="1" applyAlignment="1">
      <alignment horizontal="center"/>
    </xf>
    <xf numFmtId="0" fontId="2" fillId="0" borderId="15" xfId="0" applyFont="1" applyBorder="1" applyAlignment="1">
      <alignment horizontal="center"/>
    </xf>
    <xf numFmtId="0" fontId="0" fillId="0" borderId="16" xfId="0" applyBorder="1" applyAlignment="1">
      <alignment horizontal="center"/>
    </xf>
    <xf numFmtId="2" fontId="0" fillId="0" borderId="0" xfId="0" applyNumberFormat="1" applyAlignment="1">
      <alignment horizontal="center"/>
    </xf>
    <xf numFmtId="0" fontId="9" fillId="0" borderId="15" xfId="4" applyBorder="1" applyAlignment="1">
      <alignment horizontal="center"/>
    </xf>
    <xf numFmtId="0" fontId="9" fillId="0" borderId="18" xfId="4" applyBorder="1" applyAlignment="1">
      <alignment horizontal="center"/>
    </xf>
    <xf numFmtId="0" fontId="9" fillId="0" borderId="16" xfId="4" applyBorder="1" applyAlignment="1">
      <alignment horizontal="center"/>
    </xf>
    <xf numFmtId="0" fontId="9" fillId="0" borderId="6" xfId="4" applyBorder="1" applyAlignment="1">
      <alignment horizontal="center"/>
    </xf>
    <xf numFmtId="0" fontId="9" fillId="0" borderId="8" xfId="4" applyBorder="1" applyAlignment="1">
      <alignment horizontal="center"/>
    </xf>
    <xf numFmtId="0" fontId="9" fillId="0" borderId="7" xfId="4" applyBorder="1" applyAlignment="1">
      <alignment horizontal="center"/>
    </xf>
  </cellXfs>
  <cellStyles count="7">
    <cellStyle name="Comma" xfId="1" builtinId="3"/>
    <cellStyle name="Comma 2" xfId="2" xr:uid="{00000000-0005-0000-0000-000001000000}"/>
    <cellStyle name="Comma 2 2" xfId="5" xr:uid="{00000000-0005-0000-0000-000002000000}"/>
    <cellStyle name="Normal" xfId="0" builtinId="0"/>
    <cellStyle name="Normal 2" xfId="3" xr:uid="{00000000-0005-0000-0000-000004000000}"/>
    <cellStyle name="Normal 2 2" xfId="4" xr:uid="{00000000-0005-0000-0000-000005000000}"/>
    <cellStyle name="Percent" xfId="6"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26</xdr:col>
      <xdr:colOff>396240</xdr:colOff>
      <xdr:row>41</xdr:row>
      <xdr:rowOff>7620</xdr:rowOff>
    </xdr:to>
    <xdr:pic>
      <xdr:nvPicPr>
        <xdr:cNvPr id="4" name="Picture 3">
          <a:extLst>
            <a:ext uri="{FF2B5EF4-FFF2-40B4-BE49-F238E27FC236}">
              <a16:creationId xmlns:a16="http://schemas.microsoft.com/office/drawing/2014/main" id="{9838B092-5B48-E4EF-FAD2-89234F4967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34000" y="167640"/>
          <a:ext cx="11391900" cy="6736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533400</xdr:colOff>
      <xdr:row>9</xdr:row>
      <xdr:rowOff>129540</xdr:rowOff>
    </xdr:from>
    <xdr:to>
      <xdr:col>29</xdr:col>
      <xdr:colOff>198120</xdr:colOff>
      <xdr:row>52</xdr:row>
      <xdr:rowOff>144780</xdr:rowOff>
    </xdr:to>
    <xdr:pic>
      <xdr:nvPicPr>
        <xdr:cNvPr id="2" name="Picture 1">
          <a:extLst>
            <a:ext uri="{FF2B5EF4-FFF2-40B4-BE49-F238E27FC236}">
              <a16:creationId xmlns:a16="http://schemas.microsoft.com/office/drawing/2014/main" id="{ADF637C7-3955-EF12-4F80-911F5D9F86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77000" y="2019300"/>
          <a:ext cx="11879580" cy="7025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830580</xdr:colOff>
          <xdr:row>4</xdr:row>
          <xdr:rowOff>53340</xdr:rowOff>
        </xdr:from>
        <xdr:to>
          <xdr:col>3</xdr:col>
          <xdr:colOff>76200</xdr:colOff>
          <xdr:row>7</xdr:row>
          <xdr:rowOff>121920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4</xdr:row>
          <xdr:rowOff>45720</xdr:rowOff>
        </xdr:from>
        <xdr:to>
          <xdr:col>6</xdr:col>
          <xdr:colOff>281940</xdr:colOff>
          <xdr:row>7</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Calculate Eigenvalues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165"/>
  <sheetViews>
    <sheetView workbookViewId="0">
      <pane xSplit="2" ySplit="5" topLeftCell="C21" activePane="bottomRight" state="frozen"/>
      <selection pane="topRight" activeCell="C1" sqref="C1"/>
      <selection pane="bottomLeft" activeCell="A6" sqref="A6"/>
      <selection pane="bottomRight" activeCell="D25" sqref="D25"/>
    </sheetView>
  </sheetViews>
  <sheetFormatPr defaultRowHeight="13.2" x14ac:dyDescent="0.25"/>
  <cols>
    <col min="2" max="2" width="18.5546875" bestFit="1" customWidth="1"/>
    <col min="4" max="4" width="10.21875" customWidth="1"/>
    <col min="5" max="5" width="11.6640625" customWidth="1"/>
    <col min="6" max="6" width="9.5546875" bestFit="1" customWidth="1"/>
    <col min="7" max="7" width="10" customWidth="1"/>
    <col min="8" max="8" width="14.109375" bestFit="1" customWidth="1"/>
    <col min="11" max="12" width="14" customWidth="1"/>
    <col min="13" max="13" width="12.44140625" customWidth="1"/>
    <col min="14" max="14" width="14" customWidth="1"/>
    <col min="15" max="16" width="13.109375" bestFit="1" customWidth="1"/>
    <col min="17" max="17" width="12.44140625" customWidth="1"/>
    <col min="19" max="19" width="8.44140625" customWidth="1"/>
    <col min="20" max="20" width="7.33203125" customWidth="1"/>
    <col min="21" max="21" width="12" bestFit="1" customWidth="1"/>
    <col min="22" max="22" width="6.109375" customWidth="1"/>
    <col min="23" max="23" width="10.6640625" customWidth="1"/>
    <col min="24" max="26" width="7.33203125" customWidth="1"/>
    <col min="27" max="28" width="8.33203125" customWidth="1"/>
    <col min="29" max="29" width="10.88671875" customWidth="1"/>
    <col min="30" max="30" width="11.6640625" customWidth="1"/>
    <col min="32" max="32" width="13.33203125" customWidth="1"/>
    <col min="33" max="33" width="9.44140625" customWidth="1"/>
  </cols>
  <sheetData>
    <row r="1" spans="1:35" x14ac:dyDescent="0.25">
      <c r="A1" s="8" t="s">
        <v>241</v>
      </c>
      <c r="B1" t="s">
        <v>242</v>
      </c>
    </row>
    <row r="2" spans="1:35" x14ac:dyDescent="0.25">
      <c r="A2" s="45" t="s">
        <v>91</v>
      </c>
      <c r="B2" s="44">
        <v>45364</v>
      </c>
      <c r="C2" t="s">
        <v>240</v>
      </c>
      <c r="AC2" t="s">
        <v>195</v>
      </c>
    </row>
    <row r="3" spans="1:35" x14ac:dyDescent="0.25">
      <c r="W3" t="s">
        <v>213</v>
      </c>
      <c r="X3" t="s">
        <v>213</v>
      </c>
      <c r="Y3" s="122" t="s">
        <v>228</v>
      </c>
      <c r="Z3" s="122"/>
      <c r="AA3" s="122"/>
      <c r="AB3" s="122"/>
      <c r="AC3">
        <v>0</v>
      </c>
    </row>
    <row r="4" spans="1:35" ht="26.4" x14ac:dyDescent="0.25">
      <c r="C4" t="s">
        <v>45</v>
      </c>
      <c r="D4" s="96" t="s">
        <v>238</v>
      </c>
      <c r="E4" s="96" t="s">
        <v>237</v>
      </c>
      <c r="F4" t="s">
        <v>47</v>
      </c>
      <c r="G4" t="s">
        <v>46</v>
      </c>
      <c r="H4" t="s">
        <v>148</v>
      </c>
      <c r="I4" t="s">
        <v>154</v>
      </c>
      <c r="J4" t="s">
        <v>3</v>
      </c>
      <c r="K4" t="s">
        <v>124</v>
      </c>
      <c r="L4" s="8" t="s">
        <v>223</v>
      </c>
      <c r="M4" t="s">
        <v>49</v>
      </c>
      <c r="N4" t="s">
        <v>49</v>
      </c>
      <c r="O4" s="64" t="s">
        <v>206</v>
      </c>
      <c r="P4" s="64" t="s">
        <v>207</v>
      </c>
      <c r="Q4" t="s">
        <v>50</v>
      </c>
      <c r="R4" t="s">
        <v>51</v>
      </c>
      <c r="S4" t="s">
        <v>90</v>
      </c>
      <c r="T4" s="8" t="s">
        <v>92</v>
      </c>
      <c r="U4" s="8" t="s">
        <v>104</v>
      </c>
      <c r="V4" s="8" t="s">
        <v>199</v>
      </c>
      <c r="W4" s="8" t="s">
        <v>214</v>
      </c>
      <c r="X4" s="8" t="s">
        <v>217</v>
      </c>
      <c r="Y4" s="8" t="s">
        <v>229</v>
      </c>
      <c r="Z4" s="8" t="s">
        <v>230</v>
      </c>
      <c r="AA4" s="8" t="s">
        <v>231</v>
      </c>
      <c r="AB4" s="8" t="s">
        <v>234</v>
      </c>
      <c r="AC4" s="8" t="s">
        <v>94</v>
      </c>
      <c r="AD4" s="8" t="s">
        <v>191</v>
      </c>
      <c r="AE4" s="8" t="s">
        <v>193</v>
      </c>
      <c r="AF4" s="92" t="s">
        <v>210</v>
      </c>
      <c r="AG4" s="92" t="s">
        <v>211</v>
      </c>
      <c r="AH4" s="92" t="s">
        <v>212</v>
      </c>
    </row>
    <row r="5" spans="1:35" x14ac:dyDescent="0.25">
      <c r="C5" s="25" t="s">
        <v>123</v>
      </c>
      <c r="D5" s="25"/>
      <c r="E5" s="25"/>
      <c r="F5" s="25" t="s">
        <v>123</v>
      </c>
      <c r="G5" s="25" t="s">
        <v>123</v>
      </c>
      <c r="H5" s="25" t="s">
        <v>123</v>
      </c>
      <c r="I5" s="25" t="s">
        <v>123</v>
      </c>
      <c r="J5" s="25" t="s">
        <v>120</v>
      </c>
      <c r="K5" s="25" t="s">
        <v>125</v>
      </c>
      <c r="L5" s="64" t="s">
        <v>224</v>
      </c>
      <c r="M5" s="25" t="s">
        <v>121</v>
      </c>
      <c r="N5" s="64" t="s">
        <v>121</v>
      </c>
      <c r="O5" s="64" t="s">
        <v>122</v>
      </c>
      <c r="P5" s="64" t="s">
        <v>122</v>
      </c>
      <c r="Q5" s="25" t="s">
        <v>121</v>
      </c>
      <c r="R5" s="25" t="s">
        <v>122</v>
      </c>
      <c r="S5" s="25" t="s">
        <v>122</v>
      </c>
      <c r="T5" s="25"/>
      <c r="U5" s="25" t="s">
        <v>216</v>
      </c>
      <c r="V5" s="25" t="s">
        <v>215</v>
      </c>
      <c r="W5" s="25" t="s">
        <v>123</v>
      </c>
      <c r="X5" s="25" t="s">
        <v>215</v>
      </c>
      <c r="Y5" s="25" t="s">
        <v>123</v>
      </c>
      <c r="Z5" s="25" t="s">
        <v>233</v>
      </c>
      <c r="AA5" s="25" t="s">
        <v>215</v>
      </c>
      <c r="AB5" s="25" t="s">
        <v>215</v>
      </c>
      <c r="AC5" s="25" t="s">
        <v>123</v>
      </c>
      <c r="AD5" s="25" t="s">
        <v>121</v>
      </c>
      <c r="AE5" s="25" t="s">
        <v>194</v>
      </c>
      <c r="AF5" s="92" t="s">
        <v>208</v>
      </c>
      <c r="AG5" s="92" t="s">
        <v>209</v>
      </c>
      <c r="AH5" s="92" t="s">
        <v>209</v>
      </c>
    </row>
    <row r="6" spans="1:35" x14ac:dyDescent="0.25">
      <c r="A6">
        <v>1</v>
      </c>
      <c r="D6">
        <f>D7-C6</f>
        <v>0</v>
      </c>
      <c r="J6">
        <v>7833.4130329874843</v>
      </c>
      <c r="K6">
        <v>206.84271879505087</v>
      </c>
      <c r="L6">
        <v>0.3</v>
      </c>
      <c r="M6" s="3">
        <f>(((PI()*((IF(G6=0,F6,G6)/1000)^2))/4)-((PI()*((IF(I6=0,H6,I6)/1000)^2))/4))*C6/1000*J6</f>
        <v>0</v>
      </c>
      <c r="N6" s="5">
        <f>M6</f>
        <v>0</v>
      </c>
      <c r="O6" s="6">
        <f>M6/2*(IF(G6&gt;0,G6/2,F6/2)^2+IF(I6=0,H6/2,I6/2)^2)</f>
        <v>0</v>
      </c>
      <c r="P6" s="6">
        <f>M6/48*(3*IF(G6&gt;0,G6,F6)^2+3*IF(I6=0,H6,I6)^2+4*C6^2)</f>
        <v>0</v>
      </c>
      <c r="AC6" s="19">
        <v>0</v>
      </c>
      <c r="AD6">
        <f>N6/2+Q6</f>
        <v>0</v>
      </c>
      <c r="AE6">
        <f>(AC6-$AC$3)*AD6</f>
        <v>0</v>
      </c>
      <c r="AF6">
        <f>M6/2+P6</f>
        <v>0</v>
      </c>
      <c r="AG6">
        <f t="shared" ref="AG6:AG16" si="0">S6+P6/2+N6/2*(C6/2)^2</f>
        <v>0</v>
      </c>
      <c r="AH6">
        <f t="shared" ref="AH6:AH16" si="1">S6+Q6*(AG6-$AG$104)^2+P6+N6*(AE6-$AG$104+C6/2)^2</f>
        <v>0</v>
      </c>
    </row>
    <row r="7" spans="1:35" x14ac:dyDescent="0.25">
      <c r="A7">
        <f>A6+1</f>
        <v>2</v>
      </c>
      <c r="D7">
        <v>0</v>
      </c>
      <c r="J7">
        <v>7833.4130329874843</v>
      </c>
      <c r="K7">
        <v>206.84271879505087</v>
      </c>
      <c r="L7">
        <v>0.3</v>
      </c>
      <c r="M7" s="3">
        <f t="shared" ref="M7:M53" si="2">(((PI()*((IF(G7=0,F7,G7)/1000)^2))/4)-((PI()*((IF(I7=0,H7,I7)/1000)^2))/4))*C7/1000*J7</f>
        <v>0</v>
      </c>
      <c r="N7" s="5">
        <f t="shared" ref="N7:N53" si="3">M7</f>
        <v>0</v>
      </c>
      <c r="O7" s="6">
        <f t="shared" ref="O7:O71" si="4">M7/2*(IF(G7&gt;0,G7/2,F7/2)^2+IF(I7=0,H7/2,I7/2)^2)</f>
        <v>0</v>
      </c>
      <c r="P7" s="6">
        <f t="shared" ref="P7:P71" si="5">M7/48*(3*IF(G7&gt;0,G7,F7)^2+3*IF(I7=0,H7,I7)^2+4*C7^2)</f>
        <v>0</v>
      </c>
      <c r="AC7" s="19">
        <f t="shared" ref="AC7:AC16" si="6">AC6+C6</f>
        <v>0</v>
      </c>
      <c r="AD7">
        <f t="shared" ref="AD7:AD16" si="7">N6/2+N7/2+Q7</f>
        <v>0</v>
      </c>
      <c r="AE7">
        <f t="shared" ref="AE7:AE16" si="8">(AC7-$AC$3)*AD7</f>
        <v>0</v>
      </c>
      <c r="AF7">
        <f t="shared" ref="AF7:AF16" si="9">M7/2+M6/2+P7</f>
        <v>0</v>
      </c>
      <c r="AG7">
        <f t="shared" si="0"/>
        <v>0</v>
      </c>
      <c r="AH7">
        <f t="shared" si="1"/>
        <v>0</v>
      </c>
    </row>
    <row r="8" spans="1:35" x14ac:dyDescent="0.25">
      <c r="A8">
        <f t="shared" ref="A8:A71" si="10">A7+1</f>
        <v>3</v>
      </c>
      <c r="D8">
        <f t="shared" ref="D8:D71" si="11">D7+C7</f>
        <v>0</v>
      </c>
      <c r="J8">
        <v>7833.4130329874843</v>
      </c>
      <c r="K8">
        <v>206.84271879505087</v>
      </c>
      <c r="L8">
        <v>0.3</v>
      </c>
      <c r="M8" s="3">
        <f t="shared" si="2"/>
        <v>0</v>
      </c>
      <c r="N8" s="5">
        <f t="shared" si="3"/>
        <v>0</v>
      </c>
      <c r="O8" s="6">
        <f t="shared" si="4"/>
        <v>0</v>
      </c>
      <c r="P8" s="6">
        <f t="shared" si="5"/>
        <v>0</v>
      </c>
      <c r="AC8" s="19">
        <f t="shared" si="6"/>
        <v>0</v>
      </c>
      <c r="AD8">
        <f t="shared" si="7"/>
        <v>0</v>
      </c>
      <c r="AE8">
        <f t="shared" si="8"/>
        <v>0</v>
      </c>
      <c r="AF8">
        <f t="shared" si="9"/>
        <v>0</v>
      </c>
      <c r="AG8">
        <f t="shared" si="0"/>
        <v>0</v>
      </c>
      <c r="AH8">
        <f t="shared" si="1"/>
        <v>0</v>
      </c>
      <c r="AI8" s="8"/>
    </row>
    <row r="9" spans="1:35" x14ac:dyDescent="0.25">
      <c r="A9">
        <f t="shared" si="10"/>
        <v>4</v>
      </c>
      <c r="D9">
        <f t="shared" si="11"/>
        <v>0</v>
      </c>
      <c r="J9">
        <v>7833.4130329874843</v>
      </c>
      <c r="K9">
        <v>206.84271879505087</v>
      </c>
      <c r="L9">
        <v>0.3</v>
      </c>
      <c r="M9" s="3">
        <f t="shared" si="2"/>
        <v>0</v>
      </c>
      <c r="N9" s="5">
        <f t="shared" si="3"/>
        <v>0</v>
      </c>
      <c r="O9" s="6">
        <f t="shared" si="4"/>
        <v>0</v>
      </c>
      <c r="P9" s="6">
        <f t="shared" si="5"/>
        <v>0</v>
      </c>
      <c r="AC9" s="19">
        <f t="shared" si="6"/>
        <v>0</v>
      </c>
      <c r="AD9">
        <f t="shared" si="7"/>
        <v>0</v>
      </c>
      <c r="AE9">
        <f t="shared" si="8"/>
        <v>0</v>
      </c>
      <c r="AF9">
        <f t="shared" si="9"/>
        <v>0</v>
      </c>
      <c r="AG9">
        <f t="shared" si="0"/>
        <v>0</v>
      </c>
      <c r="AH9">
        <f t="shared" si="1"/>
        <v>0</v>
      </c>
      <c r="AI9" s="19"/>
    </row>
    <row r="10" spans="1:35" x14ac:dyDescent="0.25">
      <c r="A10">
        <f t="shared" si="10"/>
        <v>5</v>
      </c>
      <c r="B10" s="8"/>
      <c r="D10">
        <f t="shared" si="11"/>
        <v>0</v>
      </c>
      <c r="J10">
        <v>7833.4130329874843</v>
      </c>
      <c r="K10">
        <v>206.84271879505087</v>
      </c>
      <c r="L10">
        <v>0.3</v>
      </c>
      <c r="M10" s="3">
        <f t="shared" si="2"/>
        <v>0</v>
      </c>
      <c r="N10" s="5">
        <f t="shared" si="3"/>
        <v>0</v>
      </c>
      <c r="O10" s="6">
        <f t="shared" si="4"/>
        <v>0</v>
      </c>
      <c r="P10" s="6">
        <f t="shared" si="5"/>
        <v>0</v>
      </c>
      <c r="AC10" s="19">
        <f t="shared" si="6"/>
        <v>0</v>
      </c>
      <c r="AD10">
        <f t="shared" si="7"/>
        <v>0</v>
      </c>
      <c r="AE10">
        <f t="shared" si="8"/>
        <v>0</v>
      </c>
      <c r="AF10">
        <f t="shared" si="9"/>
        <v>0</v>
      </c>
      <c r="AG10">
        <f t="shared" si="0"/>
        <v>0</v>
      </c>
      <c r="AH10">
        <f t="shared" si="1"/>
        <v>0</v>
      </c>
    </row>
    <row r="11" spans="1:35" x14ac:dyDescent="0.25">
      <c r="A11">
        <f t="shared" si="10"/>
        <v>6</v>
      </c>
      <c r="B11" s="8"/>
      <c r="D11">
        <f t="shared" si="11"/>
        <v>0</v>
      </c>
      <c r="J11">
        <v>7833.4130329874843</v>
      </c>
      <c r="K11">
        <v>206.84271879505087</v>
      </c>
      <c r="L11">
        <v>0.3</v>
      </c>
      <c r="M11" s="3">
        <f t="shared" si="2"/>
        <v>0</v>
      </c>
      <c r="N11" s="5">
        <f t="shared" si="3"/>
        <v>0</v>
      </c>
      <c r="O11" s="6">
        <f t="shared" si="4"/>
        <v>0</v>
      </c>
      <c r="P11" s="6">
        <f t="shared" si="5"/>
        <v>0</v>
      </c>
      <c r="AC11" s="19">
        <f t="shared" si="6"/>
        <v>0</v>
      </c>
      <c r="AD11">
        <f t="shared" si="7"/>
        <v>0</v>
      </c>
      <c r="AE11">
        <f t="shared" si="8"/>
        <v>0</v>
      </c>
      <c r="AF11">
        <f t="shared" si="9"/>
        <v>0</v>
      </c>
      <c r="AG11">
        <f t="shared" si="0"/>
        <v>0</v>
      </c>
      <c r="AH11">
        <f t="shared" si="1"/>
        <v>0</v>
      </c>
    </row>
    <row r="12" spans="1:35" x14ac:dyDescent="0.25">
      <c r="A12">
        <f t="shared" si="10"/>
        <v>7</v>
      </c>
      <c r="B12" s="8"/>
      <c r="D12">
        <f t="shared" si="11"/>
        <v>0</v>
      </c>
      <c r="J12">
        <v>7833.4130329874843</v>
      </c>
      <c r="K12">
        <v>206.84271879505087</v>
      </c>
      <c r="L12">
        <v>0.3</v>
      </c>
      <c r="M12" s="3">
        <f t="shared" si="2"/>
        <v>0</v>
      </c>
      <c r="N12" s="5">
        <f t="shared" si="3"/>
        <v>0</v>
      </c>
      <c r="O12" s="6">
        <f t="shared" si="4"/>
        <v>0</v>
      </c>
      <c r="P12" s="6">
        <f t="shared" si="5"/>
        <v>0</v>
      </c>
      <c r="AC12" s="19">
        <f t="shared" si="6"/>
        <v>0</v>
      </c>
      <c r="AD12">
        <f t="shared" si="7"/>
        <v>0</v>
      </c>
      <c r="AE12">
        <f t="shared" si="8"/>
        <v>0</v>
      </c>
      <c r="AF12">
        <f t="shared" si="9"/>
        <v>0</v>
      </c>
      <c r="AG12">
        <f t="shared" si="0"/>
        <v>0</v>
      </c>
      <c r="AH12">
        <f t="shared" si="1"/>
        <v>0</v>
      </c>
    </row>
    <row r="13" spans="1:35" x14ac:dyDescent="0.25">
      <c r="A13">
        <f t="shared" si="10"/>
        <v>8</v>
      </c>
      <c r="B13" s="8"/>
      <c r="D13">
        <f t="shared" si="11"/>
        <v>0</v>
      </c>
      <c r="J13">
        <v>7833.4130329874843</v>
      </c>
      <c r="K13">
        <v>206.84271879505087</v>
      </c>
      <c r="L13">
        <v>0.3</v>
      </c>
      <c r="M13" s="3">
        <f t="shared" si="2"/>
        <v>0</v>
      </c>
      <c r="N13" s="5">
        <f t="shared" si="3"/>
        <v>0</v>
      </c>
      <c r="O13" s="6">
        <f t="shared" si="4"/>
        <v>0</v>
      </c>
      <c r="P13" s="6">
        <f t="shared" si="5"/>
        <v>0</v>
      </c>
      <c r="AC13" s="19">
        <f t="shared" si="6"/>
        <v>0</v>
      </c>
      <c r="AD13">
        <f t="shared" si="7"/>
        <v>0</v>
      </c>
      <c r="AE13">
        <f t="shared" si="8"/>
        <v>0</v>
      </c>
      <c r="AF13">
        <f t="shared" si="9"/>
        <v>0</v>
      </c>
      <c r="AG13">
        <f t="shared" si="0"/>
        <v>0</v>
      </c>
      <c r="AH13">
        <f t="shared" si="1"/>
        <v>0</v>
      </c>
    </row>
    <row r="14" spans="1:35" x14ac:dyDescent="0.25">
      <c r="A14">
        <f t="shared" si="10"/>
        <v>9</v>
      </c>
      <c r="B14" s="8"/>
      <c r="D14">
        <f t="shared" si="11"/>
        <v>0</v>
      </c>
      <c r="J14">
        <v>7833.4130329874843</v>
      </c>
      <c r="K14">
        <v>206.84271879505087</v>
      </c>
      <c r="L14">
        <v>0.3</v>
      </c>
      <c r="M14" s="3">
        <f t="shared" si="2"/>
        <v>0</v>
      </c>
      <c r="N14" s="5">
        <f t="shared" si="3"/>
        <v>0</v>
      </c>
      <c r="O14" s="6">
        <f t="shared" si="4"/>
        <v>0</v>
      </c>
      <c r="P14" s="6">
        <f t="shared" si="5"/>
        <v>0</v>
      </c>
      <c r="AC14" s="19">
        <f t="shared" si="6"/>
        <v>0</v>
      </c>
      <c r="AD14">
        <f t="shared" si="7"/>
        <v>0</v>
      </c>
      <c r="AE14">
        <f t="shared" si="8"/>
        <v>0</v>
      </c>
      <c r="AF14">
        <f t="shared" si="9"/>
        <v>0</v>
      </c>
      <c r="AG14">
        <f t="shared" si="0"/>
        <v>0</v>
      </c>
      <c r="AH14">
        <f t="shared" si="1"/>
        <v>0</v>
      </c>
    </row>
    <row r="15" spans="1:35" x14ac:dyDescent="0.25">
      <c r="A15">
        <f t="shared" si="10"/>
        <v>10</v>
      </c>
      <c r="D15">
        <f t="shared" si="11"/>
        <v>0</v>
      </c>
      <c r="J15">
        <v>7833.4130329874843</v>
      </c>
      <c r="K15">
        <v>206.84271879505087</v>
      </c>
      <c r="L15">
        <v>0.3</v>
      </c>
      <c r="M15" s="3">
        <f t="shared" si="2"/>
        <v>0</v>
      </c>
      <c r="N15" s="5">
        <f t="shared" si="3"/>
        <v>0</v>
      </c>
      <c r="O15" s="6">
        <f t="shared" si="4"/>
        <v>0</v>
      </c>
      <c r="P15" s="6">
        <f t="shared" si="5"/>
        <v>0</v>
      </c>
      <c r="AC15" s="19">
        <f t="shared" si="6"/>
        <v>0</v>
      </c>
      <c r="AD15">
        <f t="shared" si="7"/>
        <v>0</v>
      </c>
      <c r="AE15">
        <f t="shared" si="8"/>
        <v>0</v>
      </c>
      <c r="AF15">
        <f t="shared" si="9"/>
        <v>0</v>
      </c>
      <c r="AG15">
        <f t="shared" si="0"/>
        <v>0</v>
      </c>
      <c r="AH15">
        <f t="shared" si="1"/>
        <v>0</v>
      </c>
    </row>
    <row r="16" spans="1:35" x14ac:dyDescent="0.25">
      <c r="A16">
        <f t="shared" si="10"/>
        <v>11</v>
      </c>
      <c r="D16">
        <f t="shared" si="11"/>
        <v>0</v>
      </c>
      <c r="J16">
        <v>7833.4130329874843</v>
      </c>
      <c r="K16">
        <v>206.84271879505087</v>
      </c>
      <c r="L16">
        <v>0.3</v>
      </c>
      <c r="M16" s="3">
        <f t="shared" si="2"/>
        <v>0</v>
      </c>
      <c r="N16" s="5">
        <f t="shared" si="3"/>
        <v>0</v>
      </c>
      <c r="O16" s="6">
        <f t="shared" si="4"/>
        <v>0</v>
      </c>
      <c r="P16" s="6">
        <f t="shared" si="5"/>
        <v>0</v>
      </c>
      <c r="AC16" s="19">
        <f t="shared" si="6"/>
        <v>0</v>
      </c>
      <c r="AD16">
        <f t="shared" si="7"/>
        <v>0</v>
      </c>
      <c r="AE16">
        <f t="shared" si="8"/>
        <v>0</v>
      </c>
      <c r="AF16">
        <f t="shared" si="9"/>
        <v>0</v>
      </c>
      <c r="AG16">
        <f t="shared" si="0"/>
        <v>0</v>
      </c>
      <c r="AH16">
        <f t="shared" si="1"/>
        <v>0</v>
      </c>
    </row>
    <row r="17" spans="1:37" x14ac:dyDescent="0.25">
      <c r="A17">
        <f t="shared" si="10"/>
        <v>12</v>
      </c>
      <c r="D17">
        <f t="shared" si="11"/>
        <v>0</v>
      </c>
      <c r="J17">
        <v>7833.4130329874843</v>
      </c>
      <c r="K17">
        <v>206.84271879505087</v>
      </c>
      <c r="L17">
        <v>0.3</v>
      </c>
      <c r="M17" s="3">
        <f t="shared" si="2"/>
        <v>0</v>
      </c>
      <c r="N17" s="5">
        <f t="shared" si="3"/>
        <v>0</v>
      </c>
      <c r="O17" s="6">
        <f t="shared" si="4"/>
        <v>0</v>
      </c>
      <c r="P17" s="6">
        <f t="shared" si="5"/>
        <v>0</v>
      </c>
      <c r="AC17" s="19">
        <f t="shared" ref="AC17:AC80" si="12">AC16+C16</f>
        <v>0</v>
      </c>
      <c r="AD17">
        <f t="shared" ref="AD17:AD80" si="13">N16/2+N17/2+Q17</f>
        <v>0</v>
      </c>
      <c r="AE17">
        <f t="shared" ref="AE17:AE80" si="14">(AC17-$AC$3)*AD17</f>
        <v>0</v>
      </c>
      <c r="AF17">
        <f t="shared" ref="AF17:AF80" si="15">M17/2+M16/2+P17</f>
        <v>0</v>
      </c>
      <c r="AG17">
        <f t="shared" ref="AG17:AG80" si="16">S17+P17/2+N17/2*(C17/2)^2</f>
        <v>0</v>
      </c>
      <c r="AH17">
        <f t="shared" ref="AH17:AH80" si="17">S17+Q17*(AG17-$AG$104)^2+P17+N17*(AE17-$AG$104+C17/2)^2</f>
        <v>0</v>
      </c>
      <c r="AK17" s="8"/>
    </row>
    <row r="18" spans="1:37" x14ac:dyDescent="0.25">
      <c r="A18">
        <f t="shared" si="10"/>
        <v>13</v>
      </c>
      <c r="D18">
        <f t="shared" si="11"/>
        <v>0</v>
      </c>
      <c r="J18">
        <v>7833.4130329874843</v>
      </c>
      <c r="K18">
        <v>206.84271879505087</v>
      </c>
      <c r="L18">
        <v>0.3</v>
      </c>
      <c r="M18" s="3">
        <f t="shared" si="2"/>
        <v>0</v>
      </c>
      <c r="N18" s="5">
        <f t="shared" si="3"/>
        <v>0</v>
      </c>
      <c r="O18" s="6">
        <f t="shared" si="4"/>
        <v>0</v>
      </c>
      <c r="P18" s="6">
        <f t="shared" si="5"/>
        <v>0</v>
      </c>
      <c r="AC18" s="19">
        <f t="shared" si="12"/>
        <v>0</v>
      </c>
      <c r="AD18">
        <f t="shared" si="13"/>
        <v>0</v>
      </c>
      <c r="AE18">
        <f t="shared" si="14"/>
        <v>0</v>
      </c>
      <c r="AF18">
        <f t="shared" si="15"/>
        <v>0</v>
      </c>
      <c r="AG18">
        <f t="shared" si="16"/>
        <v>0</v>
      </c>
      <c r="AH18">
        <f t="shared" si="17"/>
        <v>0</v>
      </c>
      <c r="AK18" s="8"/>
    </row>
    <row r="19" spans="1:37" x14ac:dyDescent="0.25">
      <c r="A19">
        <f t="shared" si="10"/>
        <v>14</v>
      </c>
      <c r="D19">
        <f t="shared" si="11"/>
        <v>0</v>
      </c>
      <c r="J19">
        <v>7833.4130329874843</v>
      </c>
      <c r="K19">
        <v>206.84271879505087</v>
      </c>
      <c r="L19">
        <v>0.3</v>
      </c>
      <c r="M19" s="3">
        <f>(((PI()*((IF(G19=0,F19,G19)/1000)^2))/4)-((PI()*((IF(I19=0,H19,I19)/1000)^2))/4))*C19/1000*J19</f>
        <v>0</v>
      </c>
      <c r="N19" s="5">
        <f>M19</f>
        <v>0</v>
      </c>
      <c r="O19" s="6">
        <f t="shared" si="4"/>
        <v>0</v>
      </c>
      <c r="P19" s="6">
        <f t="shared" si="5"/>
        <v>0</v>
      </c>
      <c r="AC19" s="19">
        <f t="shared" si="12"/>
        <v>0</v>
      </c>
      <c r="AD19">
        <f t="shared" si="13"/>
        <v>0</v>
      </c>
      <c r="AE19">
        <f t="shared" si="14"/>
        <v>0</v>
      </c>
      <c r="AF19">
        <f t="shared" si="15"/>
        <v>0</v>
      </c>
      <c r="AG19">
        <f t="shared" si="16"/>
        <v>0</v>
      </c>
      <c r="AH19">
        <f t="shared" si="17"/>
        <v>0</v>
      </c>
      <c r="AI19" s="5"/>
    </row>
    <row r="20" spans="1:37" x14ac:dyDescent="0.25">
      <c r="A20">
        <f t="shared" si="10"/>
        <v>15</v>
      </c>
      <c r="D20">
        <f t="shared" si="11"/>
        <v>0</v>
      </c>
      <c r="J20">
        <v>7833.4130329874843</v>
      </c>
      <c r="K20">
        <v>206.84271879505087</v>
      </c>
      <c r="L20">
        <v>0.3</v>
      </c>
      <c r="M20" s="3">
        <f t="shared" si="2"/>
        <v>0</v>
      </c>
      <c r="N20" s="5">
        <f t="shared" si="3"/>
        <v>0</v>
      </c>
      <c r="O20" s="6">
        <f t="shared" si="4"/>
        <v>0</v>
      </c>
      <c r="P20" s="6">
        <f t="shared" si="5"/>
        <v>0</v>
      </c>
      <c r="Q20" s="39">
        <f>J150</f>
        <v>0</v>
      </c>
      <c r="R20" s="39">
        <f>M150</f>
        <v>0</v>
      </c>
      <c r="S20" s="39">
        <f>N150</f>
        <v>0</v>
      </c>
      <c r="AC20" s="19">
        <f t="shared" si="12"/>
        <v>0</v>
      </c>
      <c r="AD20">
        <f t="shared" si="13"/>
        <v>0</v>
      </c>
      <c r="AE20">
        <f t="shared" si="14"/>
        <v>0</v>
      </c>
      <c r="AF20">
        <f t="shared" si="15"/>
        <v>0</v>
      </c>
      <c r="AG20">
        <f t="shared" si="16"/>
        <v>0</v>
      </c>
      <c r="AH20">
        <f t="shared" si="17"/>
        <v>0</v>
      </c>
    </row>
    <row r="21" spans="1:37" x14ac:dyDescent="0.25">
      <c r="A21">
        <f t="shared" si="10"/>
        <v>16</v>
      </c>
      <c r="D21">
        <f t="shared" si="11"/>
        <v>0</v>
      </c>
      <c r="J21">
        <v>7833.4130329874843</v>
      </c>
      <c r="K21">
        <v>206.84271879505087</v>
      </c>
      <c r="L21">
        <v>0.3</v>
      </c>
      <c r="M21" s="3">
        <f t="shared" si="2"/>
        <v>0</v>
      </c>
      <c r="N21" s="5">
        <f t="shared" si="3"/>
        <v>0</v>
      </c>
      <c r="O21" s="6">
        <f t="shared" si="4"/>
        <v>0</v>
      </c>
      <c r="P21" s="6">
        <f t="shared" si="5"/>
        <v>0</v>
      </c>
      <c r="AC21" s="19">
        <f t="shared" si="12"/>
        <v>0</v>
      </c>
      <c r="AD21">
        <f t="shared" si="13"/>
        <v>0</v>
      </c>
      <c r="AE21">
        <f t="shared" si="14"/>
        <v>0</v>
      </c>
      <c r="AF21">
        <f t="shared" si="15"/>
        <v>0</v>
      </c>
      <c r="AG21">
        <f t="shared" si="16"/>
        <v>0</v>
      </c>
      <c r="AH21">
        <f t="shared" si="17"/>
        <v>0</v>
      </c>
    </row>
    <row r="22" spans="1:37" x14ac:dyDescent="0.25">
      <c r="A22">
        <f t="shared" si="10"/>
        <v>17</v>
      </c>
      <c r="D22">
        <f t="shared" si="11"/>
        <v>0</v>
      </c>
      <c r="J22">
        <v>7833.4130329874843</v>
      </c>
      <c r="K22">
        <v>206.84271879505087</v>
      </c>
      <c r="L22">
        <v>0.3</v>
      </c>
      <c r="M22" s="3">
        <f t="shared" si="2"/>
        <v>0</v>
      </c>
      <c r="N22" s="5">
        <f t="shared" si="3"/>
        <v>0</v>
      </c>
      <c r="O22" s="6">
        <f t="shared" si="4"/>
        <v>0</v>
      </c>
      <c r="P22" s="6">
        <f t="shared" si="5"/>
        <v>0</v>
      </c>
      <c r="AC22" s="19">
        <f t="shared" si="12"/>
        <v>0</v>
      </c>
      <c r="AD22">
        <f t="shared" si="13"/>
        <v>0</v>
      </c>
      <c r="AE22">
        <f t="shared" si="14"/>
        <v>0</v>
      </c>
      <c r="AF22">
        <f t="shared" si="15"/>
        <v>0</v>
      </c>
      <c r="AG22">
        <f t="shared" si="16"/>
        <v>0</v>
      </c>
      <c r="AH22">
        <f t="shared" si="17"/>
        <v>0</v>
      </c>
    </row>
    <row r="23" spans="1:37" x14ac:dyDescent="0.25">
      <c r="A23">
        <f t="shared" si="10"/>
        <v>18</v>
      </c>
      <c r="D23">
        <f t="shared" si="11"/>
        <v>0</v>
      </c>
      <c r="J23">
        <v>7833.4130329874843</v>
      </c>
      <c r="K23">
        <v>206.84271879505087</v>
      </c>
      <c r="L23">
        <v>0.3</v>
      </c>
      <c r="M23" s="3">
        <f t="shared" si="2"/>
        <v>0</v>
      </c>
      <c r="N23" s="5">
        <f t="shared" si="3"/>
        <v>0</v>
      </c>
      <c r="O23" s="6">
        <f t="shared" si="4"/>
        <v>0</v>
      </c>
      <c r="P23" s="6">
        <f t="shared" si="5"/>
        <v>0</v>
      </c>
      <c r="Q23" s="39">
        <f>J151</f>
        <v>0</v>
      </c>
      <c r="R23" s="39">
        <f>M151</f>
        <v>0</v>
      </c>
      <c r="S23" s="39">
        <f>N151</f>
        <v>0</v>
      </c>
      <c r="AC23" s="19">
        <f t="shared" si="12"/>
        <v>0</v>
      </c>
      <c r="AD23">
        <f t="shared" si="13"/>
        <v>0</v>
      </c>
      <c r="AE23">
        <f t="shared" si="14"/>
        <v>0</v>
      </c>
      <c r="AF23">
        <f t="shared" si="15"/>
        <v>0</v>
      </c>
      <c r="AG23">
        <f t="shared" si="16"/>
        <v>0</v>
      </c>
      <c r="AH23">
        <f t="shared" si="17"/>
        <v>0</v>
      </c>
    </row>
    <row r="24" spans="1:37" x14ac:dyDescent="0.25">
      <c r="A24">
        <f t="shared" si="10"/>
        <v>19</v>
      </c>
      <c r="D24">
        <f t="shared" si="11"/>
        <v>0</v>
      </c>
      <c r="J24">
        <v>7833.4130329874843</v>
      </c>
      <c r="K24">
        <v>206.84271879505087</v>
      </c>
      <c r="L24">
        <v>0.3</v>
      </c>
      <c r="M24" s="3">
        <f t="shared" si="2"/>
        <v>0</v>
      </c>
      <c r="N24" s="5">
        <f t="shared" si="3"/>
        <v>0</v>
      </c>
      <c r="O24" s="6">
        <f t="shared" si="4"/>
        <v>0</v>
      </c>
      <c r="P24" s="6">
        <f t="shared" si="5"/>
        <v>0</v>
      </c>
      <c r="AC24" s="19">
        <f t="shared" si="12"/>
        <v>0</v>
      </c>
      <c r="AD24">
        <f t="shared" si="13"/>
        <v>0</v>
      </c>
      <c r="AE24">
        <f t="shared" si="14"/>
        <v>0</v>
      </c>
      <c r="AF24">
        <f t="shared" si="15"/>
        <v>0</v>
      </c>
      <c r="AG24">
        <f t="shared" si="16"/>
        <v>0</v>
      </c>
      <c r="AH24">
        <f t="shared" si="17"/>
        <v>0</v>
      </c>
    </row>
    <row r="25" spans="1:37" x14ac:dyDescent="0.25">
      <c r="A25">
        <f t="shared" si="10"/>
        <v>20</v>
      </c>
      <c r="D25">
        <f t="shared" si="11"/>
        <v>0</v>
      </c>
      <c r="J25">
        <v>7833.4130329874843</v>
      </c>
      <c r="K25">
        <v>206.84271879505087</v>
      </c>
      <c r="L25">
        <v>0.3</v>
      </c>
      <c r="M25" s="3">
        <f t="shared" si="2"/>
        <v>0</v>
      </c>
      <c r="N25" s="5">
        <f t="shared" si="3"/>
        <v>0</v>
      </c>
      <c r="O25" s="6">
        <f t="shared" si="4"/>
        <v>0</v>
      </c>
      <c r="P25" s="6">
        <f t="shared" si="5"/>
        <v>0</v>
      </c>
      <c r="AC25" s="19">
        <f t="shared" si="12"/>
        <v>0</v>
      </c>
      <c r="AD25">
        <f t="shared" si="13"/>
        <v>0</v>
      </c>
      <c r="AE25">
        <f t="shared" si="14"/>
        <v>0</v>
      </c>
      <c r="AF25">
        <f t="shared" si="15"/>
        <v>0</v>
      </c>
      <c r="AG25">
        <f t="shared" si="16"/>
        <v>0</v>
      </c>
      <c r="AH25">
        <f t="shared" si="17"/>
        <v>0</v>
      </c>
    </row>
    <row r="26" spans="1:37" x14ac:dyDescent="0.25">
      <c r="A26">
        <f t="shared" si="10"/>
        <v>21</v>
      </c>
      <c r="D26">
        <f t="shared" si="11"/>
        <v>0</v>
      </c>
      <c r="J26">
        <v>7833.4130329874843</v>
      </c>
      <c r="K26">
        <v>206.84271879505087</v>
      </c>
      <c r="L26">
        <v>0.3</v>
      </c>
      <c r="M26" s="3">
        <f t="shared" si="2"/>
        <v>0</v>
      </c>
      <c r="N26" s="5">
        <f t="shared" si="3"/>
        <v>0</v>
      </c>
      <c r="O26" s="6">
        <f t="shared" si="4"/>
        <v>0</v>
      </c>
      <c r="P26" s="6">
        <f t="shared" si="5"/>
        <v>0</v>
      </c>
      <c r="AC26" s="19">
        <f t="shared" si="12"/>
        <v>0</v>
      </c>
      <c r="AD26">
        <f t="shared" si="13"/>
        <v>0</v>
      </c>
      <c r="AE26">
        <f t="shared" si="14"/>
        <v>0</v>
      </c>
      <c r="AF26">
        <f t="shared" si="15"/>
        <v>0</v>
      </c>
      <c r="AG26">
        <f t="shared" si="16"/>
        <v>0</v>
      </c>
      <c r="AH26">
        <f t="shared" si="17"/>
        <v>0</v>
      </c>
    </row>
    <row r="27" spans="1:37" x14ac:dyDescent="0.25">
      <c r="A27">
        <f t="shared" si="10"/>
        <v>22</v>
      </c>
      <c r="D27">
        <f t="shared" si="11"/>
        <v>0</v>
      </c>
      <c r="J27">
        <v>7833.4130329874843</v>
      </c>
      <c r="K27">
        <v>206.84271879505087</v>
      </c>
      <c r="L27">
        <v>0.3</v>
      </c>
      <c r="M27" s="3">
        <f t="shared" si="2"/>
        <v>0</v>
      </c>
      <c r="N27" s="5">
        <f t="shared" si="3"/>
        <v>0</v>
      </c>
      <c r="O27" s="6">
        <f t="shared" si="4"/>
        <v>0</v>
      </c>
      <c r="P27" s="6">
        <f t="shared" si="5"/>
        <v>0</v>
      </c>
      <c r="Q27" s="39">
        <f>J152</f>
        <v>0</v>
      </c>
      <c r="R27" s="39">
        <f>M152</f>
        <v>0</v>
      </c>
      <c r="S27" s="39">
        <f>N152</f>
        <v>0</v>
      </c>
      <c r="AC27" s="19">
        <f t="shared" si="12"/>
        <v>0</v>
      </c>
      <c r="AD27">
        <f t="shared" si="13"/>
        <v>0</v>
      </c>
      <c r="AE27">
        <f t="shared" si="14"/>
        <v>0</v>
      </c>
      <c r="AF27">
        <f t="shared" si="15"/>
        <v>0</v>
      </c>
      <c r="AG27">
        <f t="shared" si="16"/>
        <v>0</v>
      </c>
      <c r="AH27">
        <f t="shared" si="17"/>
        <v>0</v>
      </c>
    </row>
    <row r="28" spans="1:37" x14ac:dyDescent="0.25">
      <c r="A28">
        <f t="shared" si="10"/>
        <v>23</v>
      </c>
      <c r="D28">
        <f t="shared" si="11"/>
        <v>0</v>
      </c>
      <c r="J28">
        <v>7833.4130329874843</v>
      </c>
      <c r="K28">
        <v>206.84271879505087</v>
      </c>
      <c r="L28">
        <v>0.3</v>
      </c>
      <c r="M28" s="3">
        <f t="shared" si="2"/>
        <v>0</v>
      </c>
      <c r="N28" s="5">
        <f t="shared" si="3"/>
        <v>0</v>
      </c>
      <c r="O28" s="6">
        <f t="shared" si="4"/>
        <v>0</v>
      </c>
      <c r="P28" s="6">
        <f t="shared" si="5"/>
        <v>0</v>
      </c>
      <c r="AC28" s="19">
        <f t="shared" si="12"/>
        <v>0</v>
      </c>
      <c r="AD28">
        <f t="shared" si="13"/>
        <v>0</v>
      </c>
      <c r="AE28">
        <f t="shared" si="14"/>
        <v>0</v>
      </c>
      <c r="AF28">
        <f t="shared" si="15"/>
        <v>0</v>
      </c>
      <c r="AG28">
        <f t="shared" si="16"/>
        <v>0</v>
      </c>
      <c r="AH28">
        <f t="shared" si="17"/>
        <v>0</v>
      </c>
    </row>
    <row r="29" spans="1:37" x14ac:dyDescent="0.25">
      <c r="A29">
        <f t="shared" si="10"/>
        <v>24</v>
      </c>
      <c r="D29">
        <f t="shared" si="11"/>
        <v>0</v>
      </c>
      <c r="J29">
        <v>7833.4130329874843</v>
      </c>
      <c r="K29">
        <v>206.84271879505087</v>
      </c>
      <c r="L29">
        <v>0.3</v>
      </c>
      <c r="M29" s="3">
        <f t="shared" si="2"/>
        <v>0</v>
      </c>
      <c r="N29" s="5">
        <f t="shared" si="3"/>
        <v>0</v>
      </c>
      <c r="O29" s="6">
        <f t="shared" si="4"/>
        <v>0</v>
      </c>
      <c r="P29" s="6">
        <f t="shared" si="5"/>
        <v>0</v>
      </c>
      <c r="AC29" s="19">
        <f t="shared" si="12"/>
        <v>0</v>
      </c>
      <c r="AD29">
        <f t="shared" si="13"/>
        <v>0</v>
      </c>
      <c r="AE29">
        <f t="shared" si="14"/>
        <v>0</v>
      </c>
      <c r="AF29">
        <f t="shared" si="15"/>
        <v>0</v>
      </c>
      <c r="AG29">
        <f t="shared" si="16"/>
        <v>0</v>
      </c>
      <c r="AH29">
        <f t="shared" si="17"/>
        <v>0</v>
      </c>
    </row>
    <row r="30" spans="1:37" x14ac:dyDescent="0.25">
      <c r="A30">
        <f t="shared" si="10"/>
        <v>25</v>
      </c>
      <c r="D30">
        <f t="shared" si="11"/>
        <v>0</v>
      </c>
      <c r="J30">
        <v>7833.4130329874843</v>
      </c>
      <c r="K30">
        <v>206.84271879505087</v>
      </c>
      <c r="L30">
        <v>0.3</v>
      </c>
      <c r="M30" s="3">
        <f t="shared" si="2"/>
        <v>0</v>
      </c>
      <c r="N30" s="5">
        <f t="shared" si="3"/>
        <v>0</v>
      </c>
      <c r="O30" s="6">
        <f t="shared" si="4"/>
        <v>0</v>
      </c>
      <c r="P30" s="6">
        <f t="shared" si="5"/>
        <v>0</v>
      </c>
      <c r="Q30" s="39">
        <f>J153</f>
        <v>0</v>
      </c>
      <c r="R30" s="39">
        <f>M153</f>
        <v>0</v>
      </c>
      <c r="S30" s="39">
        <f>N153</f>
        <v>0</v>
      </c>
      <c r="AC30" s="19">
        <f t="shared" si="12"/>
        <v>0</v>
      </c>
      <c r="AD30">
        <f t="shared" si="13"/>
        <v>0</v>
      </c>
      <c r="AE30">
        <f t="shared" si="14"/>
        <v>0</v>
      </c>
      <c r="AF30">
        <f t="shared" si="15"/>
        <v>0</v>
      </c>
      <c r="AG30">
        <f t="shared" si="16"/>
        <v>0</v>
      </c>
      <c r="AH30">
        <f t="shared" si="17"/>
        <v>0</v>
      </c>
    </row>
    <row r="31" spans="1:37" x14ac:dyDescent="0.25">
      <c r="A31">
        <f t="shared" si="10"/>
        <v>26</v>
      </c>
      <c r="D31">
        <f t="shared" si="11"/>
        <v>0</v>
      </c>
      <c r="J31">
        <v>7833.4130329874843</v>
      </c>
      <c r="K31">
        <v>206.84271879505087</v>
      </c>
      <c r="L31">
        <v>0.3</v>
      </c>
      <c r="M31" s="3">
        <f t="shared" si="2"/>
        <v>0</v>
      </c>
      <c r="N31" s="5">
        <f t="shared" si="3"/>
        <v>0</v>
      </c>
      <c r="O31" s="6">
        <f t="shared" si="4"/>
        <v>0</v>
      </c>
      <c r="P31" s="6">
        <f t="shared" si="5"/>
        <v>0</v>
      </c>
      <c r="AC31" s="19">
        <f t="shared" si="12"/>
        <v>0</v>
      </c>
      <c r="AD31">
        <f t="shared" si="13"/>
        <v>0</v>
      </c>
      <c r="AE31">
        <f t="shared" si="14"/>
        <v>0</v>
      </c>
      <c r="AF31">
        <f t="shared" si="15"/>
        <v>0</v>
      </c>
      <c r="AG31">
        <f t="shared" si="16"/>
        <v>0</v>
      </c>
      <c r="AH31">
        <f t="shared" si="17"/>
        <v>0</v>
      </c>
    </row>
    <row r="32" spans="1:37" x14ac:dyDescent="0.25">
      <c r="A32">
        <f t="shared" si="10"/>
        <v>27</v>
      </c>
      <c r="D32">
        <f t="shared" si="11"/>
        <v>0</v>
      </c>
      <c r="J32">
        <v>7833.4130329874843</v>
      </c>
      <c r="K32">
        <v>206.84271879505087</v>
      </c>
      <c r="L32">
        <v>0.3</v>
      </c>
      <c r="M32" s="3">
        <f t="shared" si="2"/>
        <v>0</v>
      </c>
      <c r="N32" s="5">
        <f t="shared" si="3"/>
        <v>0</v>
      </c>
      <c r="O32" s="6">
        <f t="shared" si="4"/>
        <v>0</v>
      </c>
      <c r="P32" s="6">
        <f t="shared" si="5"/>
        <v>0</v>
      </c>
      <c r="AC32" s="19">
        <f t="shared" si="12"/>
        <v>0</v>
      </c>
      <c r="AD32">
        <f t="shared" si="13"/>
        <v>0</v>
      </c>
      <c r="AE32">
        <f t="shared" si="14"/>
        <v>0</v>
      </c>
      <c r="AF32">
        <f t="shared" si="15"/>
        <v>0</v>
      </c>
      <c r="AG32">
        <f t="shared" si="16"/>
        <v>0</v>
      </c>
      <c r="AH32">
        <f t="shared" si="17"/>
        <v>0</v>
      </c>
    </row>
    <row r="33" spans="1:35" x14ac:dyDescent="0.25">
      <c r="A33">
        <f t="shared" si="10"/>
        <v>28</v>
      </c>
      <c r="D33">
        <f t="shared" si="11"/>
        <v>0</v>
      </c>
      <c r="J33">
        <v>7833.4130329874843</v>
      </c>
      <c r="K33">
        <v>206.84271879505087</v>
      </c>
      <c r="L33">
        <v>0.3</v>
      </c>
      <c r="M33" s="3">
        <f t="shared" si="2"/>
        <v>0</v>
      </c>
      <c r="N33" s="5">
        <f t="shared" si="3"/>
        <v>0</v>
      </c>
      <c r="O33" s="6">
        <f t="shared" si="4"/>
        <v>0</v>
      </c>
      <c r="P33" s="6">
        <f t="shared" si="5"/>
        <v>0</v>
      </c>
      <c r="AC33" s="19">
        <f t="shared" si="12"/>
        <v>0</v>
      </c>
      <c r="AD33">
        <f t="shared" si="13"/>
        <v>0</v>
      </c>
      <c r="AE33">
        <f t="shared" si="14"/>
        <v>0</v>
      </c>
      <c r="AF33">
        <f t="shared" si="15"/>
        <v>0</v>
      </c>
      <c r="AG33">
        <f t="shared" si="16"/>
        <v>0</v>
      </c>
      <c r="AH33">
        <f t="shared" si="17"/>
        <v>0</v>
      </c>
    </row>
    <row r="34" spans="1:35" x14ac:dyDescent="0.25">
      <c r="A34">
        <f t="shared" si="10"/>
        <v>29</v>
      </c>
      <c r="D34">
        <f t="shared" si="11"/>
        <v>0</v>
      </c>
      <c r="J34">
        <v>7833.4130329874843</v>
      </c>
      <c r="K34">
        <v>206.84271879505087</v>
      </c>
      <c r="L34">
        <v>0.3</v>
      </c>
      <c r="M34" s="3">
        <f t="shared" si="2"/>
        <v>0</v>
      </c>
      <c r="N34" s="5">
        <f t="shared" si="3"/>
        <v>0</v>
      </c>
      <c r="O34" s="6">
        <f t="shared" si="4"/>
        <v>0</v>
      </c>
      <c r="P34" s="6">
        <f t="shared" si="5"/>
        <v>0</v>
      </c>
      <c r="Q34" s="39">
        <f>J154</f>
        <v>0</v>
      </c>
      <c r="R34" s="39">
        <f>M154</f>
        <v>0</v>
      </c>
      <c r="S34" s="39">
        <f>N154</f>
        <v>0</v>
      </c>
      <c r="AC34" s="19">
        <f t="shared" si="12"/>
        <v>0</v>
      </c>
      <c r="AD34">
        <f t="shared" si="13"/>
        <v>0</v>
      </c>
      <c r="AE34">
        <f t="shared" si="14"/>
        <v>0</v>
      </c>
      <c r="AF34">
        <f t="shared" si="15"/>
        <v>0</v>
      </c>
      <c r="AG34">
        <f t="shared" si="16"/>
        <v>0</v>
      </c>
      <c r="AH34">
        <f t="shared" si="17"/>
        <v>0</v>
      </c>
    </row>
    <row r="35" spans="1:35" x14ac:dyDescent="0.25">
      <c r="A35">
        <f t="shared" si="10"/>
        <v>30</v>
      </c>
      <c r="D35">
        <f t="shared" si="11"/>
        <v>0</v>
      </c>
      <c r="J35">
        <v>7833.4130329874843</v>
      </c>
      <c r="K35">
        <v>206.84271879505087</v>
      </c>
      <c r="L35">
        <v>0.3</v>
      </c>
      <c r="M35" s="3">
        <f t="shared" si="2"/>
        <v>0</v>
      </c>
      <c r="N35" s="5">
        <f t="shared" si="3"/>
        <v>0</v>
      </c>
      <c r="O35" s="6">
        <f t="shared" si="4"/>
        <v>0</v>
      </c>
      <c r="P35" s="6">
        <f t="shared" si="5"/>
        <v>0</v>
      </c>
      <c r="AC35" s="19">
        <f t="shared" si="12"/>
        <v>0</v>
      </c>
      <c r="AD35">
        <f t="shared" si="13"/>
        <v>0</v>
      </c>
      <c r="AE35">
        <f t="shared" si="14"/>
        <v>0</v>
      </c>
      <c r="AF35">
        <f t="shared" si="15"/>
        <v>0</v>
      </c>
      <c r="AG35">
        <f t="shared" si="16"/>
        <v>0</v>
      </c>
      <c r="AH35">
        <f t="shared" si="17"/>
        <v>0</v>
      </c>
    </row>
    <row r="36" spans="1:35" x14ac:dyDescent="0.25">
      <c r="A36">
        <f t="shared" si="10"/>
        <v>31</v>
      </c>
      <c r="D36">
        <f t="shared" si="11"/>
        <v>0</v>
      </c>
      <c r="J36">
        <v>7833.4130329874843</v>
      </c>
      <c r="K36">
        <v>206.84271879505087</v>
      </c>
      <c r="L36">
        <v>0.3</v>
      </c>
      <c r="M36" s="3">
        <f t="shared" si="2"/>
        <v>0</v>
      </c>
      <c r="N36" s="5">
        <f t="shared" si="3"/>
        <v>0</v>
      </c>
      <c r="O36" s="6">
        <f t="shared" si="4"/>
        <v>0</v>
      </c>
      <c r="P36" s="6">
        <f t="shared" si="5"/>
        <v>0</v>
      </c>
      <c r="AC36" s="19">
        <f t="shared" si="12"/>
        <v>0</v>
      </c>
      <c r="AD36">
        <f t="shared" si="13"/>
        <v>0</v>
      </c>
      <c r="AE36">
        <f t="shared" si="14"/>
        <v>0</v>
      </c>
      <c r="AF36">
        <f t="shared" si="15"/>
        <v>0</v>
      </c>
      <c r="AG36">
        <f t="shared" si="16"/>
        <v>0</v>
      </c>
      <c r="AH36">
        <f t="shared" si="17"/>
        <v>0</v>
      </c>
      <c r="AI36" s="8"/>
    </row>
    <row r="37" spans="1:35" x14ac:dyDescent="0.25">
      <c r="A37">
        <f t="shared" si="10"/>
        <v>32</v>
      </c>
      <c r="D37">
        <f t="shared" si="11"/>
        <v>0</v>
      </c>
      <c r="J37">
        <v>7833.4130329874843</v>
      </c>
      <c r="K37">
        <v>206.84271879505087</v>
      </c>
      <c r="L37">
        <v>0.3</v>
      </c>
      <c r="M37" s="3">
        <f t="shared" si="2"/>
        <v>0</v>
      </c>
      <c r="N37" s="5">
        <f t="shared" si="3"/>
        <v>0</v>
      </c>
      <c r="O37" s="6">
        <f t="shared" si="4"/>
        <v>0</v>
      </c>
      <c r="P37" s="6">
        <f t="shared" si="5"/>
        <v>0</v>
      </c>
      <c r="Q37" s="39">
        <f>J155</f>
        <v>0</v>
      </c>
      <c r="R37" s="39">
        <f>M155</f>
        <v>0</v>
      </c>
      <c r="S37" s="39">
        <f>N155</f>
        <v>0</v>
      </c>
      <c r="AC37" s="19">
        <f t="shared" si="12"/>
        <v>0</v>
      </c>
      <c r="AD37">
        <f t="shared" si="13"/>
        <v>0</v>
      </c>
      <c r="AE37">
        <f t="shared" si="14"/>
        <v>0</v>
      </c>
      <c r="AF37">
        <f t="shared" si="15"/>
        <v>0</v>
      </c>
      <c r="AG37">
        <f t="shared" si="16"/>
        <v>0</v>
      </c>
      <c r="AH37">
        <f t="shared" si="17"/>
        <v>0</v>
      </c>
      <c r="AI37" s="19"/>
    </row>
    <row r="38" spans="1:35" x14ac:dyDescent="0.25">
      <c r="A38">
        <f t="shared" si="10"/>
        <v>33</v>
      </c>
      <c r="D38">
        <f t="shared" si="11"/>
        <v>0</v>
      </c>
      <c r="J38">
        <v>7833.4130329874843</v>
      </c>
      <c r="K38">
        <v>206.84271879505087</v>
      </c>
      <c r="L38">
        <v>0.3</v>
      </c>
      <c r="M38" s="3">
        <f t="shared" si="2"/>
        <v>0</v>
      </c>
      <c r="N38" s="5">
        <f t="shared" si="3"/>
        <v>0</v>
      </c>
      <c r="O38" s="6">
        <f t="shared" si="4"/>
        <v>0</v>
      </c>
      <c r="P38" s="6">
        <f t="shared" si="5"/>
        <v>0</v>
      </c>
      <c r="AC38" s="19">
        <f t="shared" si="12"/>
        <v>0</v>
      </c>
      <c r="AD38">
        <f t="shared" si="13"/>
        <v>0</v>
      </c>
      <c r="AE38">
        <f t="shared" si="14"/>
        <v>0</v>
      </c>
      <c r="AF38">
        <f t="shared" si="15"/>
        <v>0</v>
      </c>
      <c r="AG38">
        <f t="shared" si="16"/>
        <v>0</v>
      </c>
      <c r="AH38">
        <f t="shared" si="17"/>
        <v>0</v>
      </c>
    </row>
    <row r="39" spans="1:35" x14ac:dyDescent="0.25">
      <c r="A39">
        <f t="shared" si="10"/>
        <v>34</v>
      </c>
      <c r="D39">
        <f t="shared" si="11"/>
        <v>0</v>
      </c>
      <c r="J39">
        <v>7833.4130329874843</v>
      </c>
      <c r="K39">
        <v>206.84271879505087</v>
      </c>
      <c r="L39">
        <v>0.3</v>
      </c>
      <c r="M39" s="3">
        <f t="shared" si="2"/>
        <v>0</v>
      </c>
      <c r="N39" s="5">
        <f t="shared" si="3"/>
        <v>0</v>
      </c>
      <c r="O39" s="6">
        <f t="shared" si="4"/>
        <v>0</v>
      </c>
      <c r="P39" s="6">
        <f t="shared" si="5"/>
        <v>0</v>
      </c>
      <c r="AC39" s="19">
        <f t="shared" si="12"/>
        <v>0</v>
      </c>
      <c r="AD39">
        <f t="shared" si="13"/>
        <v>0</v>
      </c>
      <c r="AE39">
        <f t="shared" si="14"/>
        <v>0</v>
      </c>
      <c r="AF39">
        <f t="shared" si="15"/>
        <v>0</v>
      </c>
      <c r="AG39">
        <f t="shared" si="16"/>
        <v>0</v>
      </c>
      <c r="AH39">
        <f t="shared" si="17"/>
        <v>0</v>
      </c>
    </row>
    <row r="40" spans="1:35" x14ac:dyDescent="0.25">
      <c r="A40">
        <f t="shared" si="10"/>
        <v>35</v>
      </c>
      <c r="D40">
        <f t="shared" si="11"/>
        <v>0</v>
      </c>
      <c r="J40">
        <v>7833.4130329874843</v>
      </c>
      <c r="K40">
        <v>206.84271879505087</v>
      </c>
      <c r="L40">
        <v>0.3</v>
      </c>
      <c r="M40" s="3">
        <f t="shared" si="2"/>
        <v>0</v>
      </c>
      <c r="N40" s="5">
        <f t="shared" si="3"/>
        <v>0</v>
      </c>
      <c r="O40" s="6">
        <f t="shared" si="4"/>
        <v>0</v>
      </c>
      <c r="P40" s="6">
        <f t="shared" si="5"/>
        <v>0</v>
      </c>
      <c r="AC40" s="19">
        <f t="shared" si="12"/>
        <v>0</v>
      </c>
      <c r="AD40">
        <f t="shared" si="13"/>
        <v>0</v>
      </c>
      <c r="AE40">
        <f t="shared" si="14"/>
        <v>0</v>
      </c>
      <c r="AF40">
        <f t="shared" si="15"/>
        <v>0</v>
      </c>
      <c r="AG40">
        <f t="shared" si="16"/>
        <v>0</v>
      </c>
      <c r="AH40">
        <f t="shared" si="17"/>
        <v>0</v>
      </c>
    </row>
    <row r="41" spans="1:35" x14ac:dyDescent="0.25">
      <c r="A41">
        <f t="shared" si="10"/>
        <v>36</v>
      </c>
      <c r="D41">
        <f t="shared" si="11"/>
        <v>0</v>
      </c>
      <c r="J41">
        <v>7833.4130329874843</v>
      </c>
      <c r="K41">
        <v>206.84271879505087</v>
      </c>
      <c r="L41">
        <v>0.3</v>
      </c>
      <c r="M41" s="3">
        <f t="shared" si="2"/>
        <v>0</v>
      </c>
      <c r="N41" s="5">
        <f t="shared" si="3"/>
        <v>0</v>
      </c>
      <c r="O41" s="6">
        <f t="shared" si="4"/>
        <v>0</v>
      </c>
      <c r="P41" s="6">
        <f t="shared" si="5"/>
        <v>0</v>
      </c>
      <c r="AC41" s="19">
        <f t="shared" si="12"/>
        <v>0</v>
      </c>
      <c r="AD41">
        <f t="shared" si="13"/>
        <v>0</v>
      </c>
      <c r="AE41">
        <f t="shared" si="14"/>
        <v>0</v>
      </c>
      <c r="AF41">
        <f t="shared" si="15"/>
        <v>0</v>
      </c>
      <c r="AG41">
        <f t="shared" si="16"/>
        <v>0</v>
      </c>
      <c r="AH41">
        <f t="shared" si="17"/>
        <v>0</v>
      </c>
    </row>
    <row r="42" spans="1:35" x14ac:dyDescent="0.25">
      <c r="A42">
        <f t="shared" si="10"/>
        <v>37</v>
      </c>
      <c r="D42">
        <f t="shared" si="11"/>
        <v>0</v>
      </c>
      <c r="J42">
        <v>7833.4130329874843</v>
      </c>
      <c r="K42">
        <v>206.84271879505087</v>
      </c>
      <c r="L42">
        <v>0.3</v>
      </c>
      <c r="M42" s="3">
        <f t="shared" si="2"/>
        <v>0</v>
      </c>
      <c r="N42" s="5">
        <f t="shared" si="3"/>
        <v>0</v>
      </c>
      <c r="O42" s="6">
        <f t="shared" si="4"/>
        <v>0</v>
      </c>
      <c r="P42" s="6">
        <f t="shared" si="5"/>
        <v>0</v>
      </c>
      <c r="AC42" s="19">
        <f t="shared" si="12"/>
        <v>0</v>
      </c>
      <c r="AD42">
        <f t="shared" si="13"/>
        <v>0</v>
      </c>
      <c r="AE42">
        <f t="shared" si="14"/>
        <v>0</v>
      </c>
      <c r="AF42">
        <f t="shared" si="15"/>
        <v>0</v>
      </c>
      <c r="AG42">
        <f t="shared" si="16"/>
        <v>0</v>
      </c>
      <c r="AH42">
        <f t="shared" si="17"/>
        <v>0</v>
      </c>
    </row>
    <row r="43" spans="1:35" x14ac:dyDescent="0.25">
      <c r="A43">
        <f t="shared" si="10"/>
        <v>38</v>
      </c>
      <c r="D43">
        <f t="shared" si="11"/>
        <v>0</v>
      </c>
      <c r="J43">
        <v>7833.4130329874843</v>
      </c>
      <c r="K43">
        <v>206.84271879505087</v>
      </c>
      <c r="L43">
        <v>0.3</v>
      </c>
      <c r="M43" s="3">
        <f t="shared" si="2"/>
        <v>0</v>
      </c>
      <c r="N43" s="5">
        <f t="shared" si="3"/>
        <v>0</v>
      </c>
      <c r="O43" s="6">
        <f t="shared" si="4"/>
        <v>0</v>
      </c>
      <c r="P43" s="6">
        <f t="shared" si="5"/>
        <v>0</v>
      </c>
      <c r="AC43" s="19">
        <f t="shared" si="12"/>
        <v>0</v>
      </c>
      <c r="AD43">
        <f t="shared" si="13"/>
        <v>0</v>
      </c>
      <c r="AE43">
        <f t="shared" si="14"/>
        <v>0</v>
      </c>
      <c r="AF43">
        <f t="shared" si="15"/>
        <v>0</v>
      </c>
      <c r="AG43">
        <f t="shared" si="16"/>
        <v>0</v>
      </c>
      <c r="AH43">
        <f t="shared" si="17"/>
        <v>0</v>
      </c>
    </row>
    <row r="44" spans="1:35" x14ac:dyDescent="0.25">
      <c r="A44">
        <f t="shared" si="10"/>
        <v>39</v>
      </c>
      <c r="B44" s="8"/>
      <c r="D44">
        <f t="shared" si="11"/>
        <v>0</v>
      </c>
      <c r="J44">
        <v>7833.4130329874843</v>
      </c>
      <c r="K44">
        <v>206.84271879505087</v>
      </c>
      <c r="L44">
        <v>0.3</v>
      </c>
      <c r="M44" s="3">
        <f t="shared" si="2"/>
        <v>0</v>
      </c>
      <c r="N44" s="5">
        <f t="shared" si="3"/>
        <v>0</v>
      </c>
      <c r="O44" s="6">
        <f t="shared" si="4"/>
        <v>0</v>
      </c>
      <c r="P44" s="6">
        <f t="shared" si="5"/>
        <v>0</v>
      </c>
      <c r="AC44" s="19">
        <f t="shared" si="12"/>
        <v>0</v>
      </c>
      <c r="AD44">
        <f t="shared" si="13"/>
        <v>0</v>
      </c>
      <c r="AE44">
        <f t="shared" si="14"/>
        <v>0</v>
      </c>
      <c r="AF44">
        <f t="shared" si="15"/>
        <v>0</v>
      </c>
      <c r="AG44">
        <f t="shared" si="16"/>
        <v>0</v>
      </c>
      <c r="AH44">
        <f t="shared" si="17"/>
        <v>0</v>
      </c>
    </row>
    <row r="45" spans="1:35" x14ac:dyDescent="0.25">
      <c r="A45">
        <f t="shared" si="10"/>
        <v>40</v>
      </c>
      <c r="B45" s="8"/>
      <c r="D45">
        <f t="shared" si="11"/>
        <v>0</v>
      </c>
      <c r="J45">
        <v>7833.4130329874843</v>
      </c>
      <c r="K45">
        <v>206.84271879505087</v>
      </c>
      <c r="L45">
        <v>0.3</v>
      </c>
      <c r="M45" s="3">
        <f t="shared" si="2"/>
        <v>0</v>
      </c>
      <c r="N45" s="5">
        <f t="shared" si="3"/>
        <v>0</v>
      </c>
      <c r="O45" s="6">
        <f t="shared" si="4"/>
        <v>0</v>
      </c>
      <c r="P45" s="6">
        <f t="shared" si="5"/>
        <v>0</v>
      </c>
      <c r="AC45" s="19">
        <f t="shared" si="12"/>
        <v>0</v>
      </c>
      <c r="AD45">
        <f t="shared" si="13"/>
        <v>0</v>
      </c>
      <c r="AE45">
        <f t="shared" si="14"/>
        <v>0</v>
      </c>
      <c r="AF45">
        <f t="shared" si="15"/>
        <v>0</v>
      </c>
      <c r="AG45">
        <f t="shared" si="16"/>
        <v>0</v>
      </c>
      <c r="AH45">
        <f t="shared" si="17"/>
        <v>0</v>
      </c>
    </row>
    <row r="46" spans="1:35" x14ac:dyDescent="0.25">
      <c r="A46">
        <f t="shared" si="10"/>
        <v>41</v>
      </c>
      <c r="D46">
        <f t="shared" si="11"/>
        <v>0</v>
      </c>
      <c r="J46">
        <v>7833.4130329874843</v>
      </c>
      <c r="K46">
        <v>206.84271879505087</v>
      </c>
      <c r="L46">
        <v>0.3</v>
      </c>
      <c r="M46" s="3">
        <f t="shared" si="2"/>
        <v>0</v>
      </c>
      <c r="N46" s="5">
        <f t="shared" si="3"/>
        <v>0</v>
      </c>
      <c r="O46" s="6">
        <f t="shared" si="4"/>
        <v>0</v>
      </c>
      <c r="P46" s="6">
        <f t="shared" si="5"/>
        <v>0</v>
      </c>
      <c r="AC46" s="19">
        <f t="shared" si="12"/>
        <v>0</v>
      </c>
      <c r="AD46">
        <f t="shared" si="13"/>
        <v>0</v>
      </c>
      <c r="AE46">
        <f t="shared" si="14"/>
        <v>0</v>
      </c>
      <c r="AF46">
        <f t="shared" si="15"/>
        <v>0</v>
      </c>
      <c r="AG46">
        <f t="shared" si="16"/>
        <v>0</v>
      </c>
      <c r="AH46">
        <f t="shared" si="17"/>
        <v>0</v>
      </c>
    </row>
    <row r="47" spans="1:35" x14ac:dyDescent="0.25">
      <c r="A47">
        <f t="shared" si="10"/>
        <v>42</v>
      </c>
      <c r="D47">
        <f t="shared" si="11"/>
        <v>0</v>
      </c>
      <c r="J47">
        <v>7833.4130329874843</v>
      </c>
      <c r="K47">
        <v>206.84271879505087</v>
      </c>
      <c r="L47">
        <v>0.3</v>
      </c>
      <c r="M47" s="3">
        <f t="shared" si="2"/>
        <v>0</v>
      </c>
      <c r="N47" s="5">
        <f t="shared" si="3"/>
        <v>0</v>
      </c>
      <c r="O47" s="6">
        <f t="shared" si="4"/>
        <v>0</v>
      </c>
      <c r="P47" s="6">
        <f t="shared" si="5"/>
        <v>0</v>
      </c>
      <c r="AC47" s="19">
        <f t="shared" si="12"/>
        <v>0</v>
      </c>
      <c r="AD47">
        <f t="shared" si="13"/>
        <v>0</v>
      </c>
      <c r="AE47">
        <f t="shared" si="14"/>
        <v>0</v>
      </c>
      <c r="AF47">
        <f t="shared" si="15"/>
        <v>0</v>
      </c>
      <c r="AG47">
        <f t="shared" si="16"/>
        <v>0</v>
      </c>
      <c r="AH47">
        <f t="shared" si="17"/>
        <v>0</v>
      </c>
    </row>
    <row r="48" spans="1:35" x14ac:dyDescent="0.25">
      <c r="A48">
        <f t="shared" si="10"/>
        <v>43</v>
      </c>
      <c r="D48">
        <f t="shared" si="11"/>
        <v>0</v>
      </c>
      <c r="J48">
        <v>7833.4130329874843</v>
      </c>
      <c r="K48">
        <v>206.84271879505087</v>
      </c>
      <c r="L48">
        <v>0.3</v>
      </c>
      <c r="M48" s="3">
        <f t="shared" si="2"/>
        <v>0</v>
      </c>
      <c r="N48" s="5">
        <f t="shared" si="3"/>
        <v>0</v>
      </c>
      <c r="O48" s="6">
        <f t="shared" si="4"/>
        <v>0</v>
      </c>
      <c r="P48" s="6">
        <f t="shared" si="5"/>
        <v>0</v>
      </c>
      <c r="AC48" s="19">
        <f t="shared" si="12"/>
        <v>0</v>
      </c>
      <c r="AD48">
        <f t="shared" si="13"/>
        <v>0</v>
      </c>
      <c r="AE48">
        <f t="shared" si="14"/>
        <v>0</v>
      </c>
      <c r="AF48">
        <f t="shared" si="15"/>
        <v>0</v>
      </c>
      <c r="AG48">
        <f t="shared" si="16"/>
        <v>0</v>
      </c>
      <c r="AH48">
        <f t="shared" si="17"/>
        <v>0</v>
      </c>
    </row>
    <row r="49" spans="1:34" x14ac:dyDescent="0.25">
      <c r="A49">
        <f t="shared" si="10"/>
        <v>44</v>
      </c>
      <c r="D49">
        <f t="shared" si="11"/>
        <v>0</v>
      </c>
      <c r="J49">
        <v>7833.4130329874843</v>
      </c>
      <c r="K49">
        <v>206.84271879505087</v>
      </c>
      <c r="L49">
        <v>0.3</v>
      </c>
      <c r="M49" s="3">
        <f t="shared" si="2"/>
        <v>0</v>
      </c>
      <c r="N49" s="5">
        <f t="shared" si="3"/>
        <v>0</v>
      </c>
      <c r="O49" s="6">
        <f t="shared" si="4"/>
        <v>0</v>
      </c>
      <c r="P49" s="6">
        <f t="shared" si="5"/>
        <v>0</v>
      </c>
      <c r="AC49" s="19">
        <f t="shared" si="12"/>
        <v>0</v>
      </c>
      <c r="AD49">
        <f t="shared" si="13"/>
        <v>0</v>
      </c>
      <c r="AE49">
        <f t="shared" si="14"/>
        <v>0</v>
      </c>
      <c r="AF49">
        <f t="shared" si="15"/>
        <v>0</v>
      </c>
      <c r="AG49">
        <f t="shared" si="16"/>
        <v>0</v>
      </c>
      <c r="AH49">
        <f t="shared" si="17"/>
        <v>0</v>
      </c>
    </row>
    <row r="50" spans="1:34" x14ac:dyDescent="0.25">
      <c r="A50">
        <f t="shared" si="10"/>
        <v>45</v>
      </c>
      <c r="D50">
        <f t="shared" si="11"/>
        <v>0</v>
      </c>
      <c r="J50">
        <v>7833.4130329874843</v>
      </c>
      <c r="K50">
        <v>206.84271879505087</v>
      </c>
      <c r="L50">
        <v>0.3</v>
      </c>
      <c r="M50" s="3">
        <f t="shared" si="2"/>
        <v>0</v>
      </c>
      <c r="N50" s="5">
        <f t="shared" si="3"/>
        <v>0</v>
      </c>
      <c r="O50" s="6">
        <f t="shared" si="4"/>
        <v>0</v>
      </c>
      <c r="P50" s="6">
        <f t="shared" si="5"/>
        <v>0</v>
      </c>
      <c r="AC50" s="19">
        <f t="shared" si="12"/>
        <v>0</v>
      </c>
      <c r="AD50">
        <f t="shared" si="13"/>
        <v>0</v>
      </c>
      <c r="AE50">
        <f t="shared" si="14"/>
        <v>0</v>
      </c>
      <c r="AF50">
        <f t="shared" si="15"/>
        <v>0</v>
      </c>
      <c r="AG50">
        <f t="shared" si="16"/>
        <v>0</v>
      </c>
      <c r="AH50">
        <f t="shared" si="17"/>
        <v>0</v>
      </c>
    </row>
    <row r="51" spans="1:34" hidden="1" x14ac:dyDescent="0.25">
      <c r="A51">
        <f t="shared" si="10"/>
        <v>46</v>
      </c>
      <c r="D51">
        <f t="shared" si="11"/>
        <v>0</v>
      </c>
      <c r="J51">
        <v>7833.4130329874843</v>
      </c>
      <c r="K51">
        <v>206.84271879505087</v>
      </c>
      <c r="L51">
        <v>0.3</v>
      </c>
      <c r="M51" s="3">
        <f t="shared" si="2"/>
        <v>0</v>
      </c>
      <c r="N51" s="5">
        <f t="shared" si="3"/>
        <v>0</v>
      </c>
      <c r="O51" s="6">
        <f t="shared" si="4"/>
        <v>0</v>
      </c>
      <c r="P51" s="6">
        <f t="shared" si="5"/>
        <v>0</v>
      </c>
      <c r="AC51" s="19">
        <f t="shared" si="12"/>
        <v>0</v>
      </c>
      <c r="AD51">
        <f t="shared" si="13"/>
        <v>0</v>
      </c>
      <c r="AE51">
        <f t="shared" si="14"/>
        <v>0</v>
      </c>
      <c r="AF51">
        <f t="shared" si="15"/>
        <v>0</v>
      </c>
      <c r="AG51">
        <f t="shared" si="16"/>
        <v>0</v>
      </c>
      <c r="AH51">
        <f t="shared" si="17"/>
        <v>0</v>
      </c>
    </row>
    <row r="52" spans="1:34" hidden="1" x14ac:dyDescent="0.25">
      <c r="A52">
        <f t="shared" si="10"/>
        <v>47</v>
      </c>
      <c r="D52">
        <f t="shared" si="11"/>
        <v>0</v>
      </c>
      <c r="J52">
        <v>7833.4130329874843</v>
      </c>
      <c r="K52">
        <v>206.84271879505087</v>
      </c>
      <c r="L52">
        <v>0.3</v>
      </c>
      <c r="M52" s="3">
        <f t="shared" si="2"/>
        <v>0</v>
      </c>
      <c r="N52" s="5">
        <f t="shared" si="3"/>
        <v>0</v>
      </c>
      <c r="O52" s="6">
        <f t="shared" si="4"/>
        <v>0</v>
      </c>
      <c r="P52" s="6">
        <f t="shared" si="5"/>
        <v>0</v>
      </c>
      <c r="AC52" s="19">
        <f t="shared" si="12"/>
        <v>0</v>
      </c>
      <c r="AD52">
        <f t="shared" si="13"/>
        <v>0</v>
      </c>
      <c r="AE52">
        <f t="shared" si="14"/>
        <v>0</v>
      </c>
      <c r="AF52">
        <f t="shared" si="15"/>
        <v>0</v>
      </c>
      <c r="AG52">
        <f t="shared" si="16"/>
        <v>0</v>
      </c>
      <c r="AH52">
        <f t="shared" si="17"/>
        <v>0</v>
      </c>
    </row>
    <row r="53" spans="1:34" hidden="1" x14ac:dyDescent="0.25">
      <c r="A53">
        <f t="shared" si="10"/>
        <v>48</v>
      </c>
      <c r="B53" s="8"/>
      <c r="D53">
        <f t="shared" si="11"/>
        <v>0</v>
      </c>
      <c r="J53">
        <v>7833.4130329874843</v>
      </c>
      <c r="K53">
        <v>206.84271879505087</v>
      </c>
      <c r="L53">
        <v>0.3</v>
      </c>
      <c r="M53" s="3">
        <f t="shared" si="2"/>
        <v>0</v>
      </c>
      <c r="N53" s="5">
        <f t="shared" si="3"/>
        <v>0</v>
      </c>
      <c r="O53" s="6">
        <f t="shared" si="4"/>
        <v>0</v>
      </c>
      <c r="P53" s="6">
        <f t="shared" si="5"/>
        <v>0</v>
      </c>
      <c r="AC53" s="19">
        <f t="shared" si="12"/>
        <v>0</v>
      </c>
      <c r="AD53">
        <f t="shared" si="13"/>
        <v>0</v>
      </c>
      <c r="AE53">
        <f t="shared" si="14"/>
        <v>0</v>
      </c>
      <c r="AF53">
        <f t="shared" si="15"/>
        <v>0</v>
      </c>
      <c r="AG53">
        <f t="shared" si="16"/>
        <v>0</v>
      </c>
      <c r="AH53">
        <f t="shared" si="17"/>
        <v>0</v>
      </c>
    </row>
    <row r="54" spans="1:34" hidden="1" x14ac:dyDescent="0.25">
      <c r="A54">
        <f t="shared" si="10"/>
        <v>49</v>
      </c>
      <c r="D54">
        <f t="shared" si="11"/>
        <v>0</v>
      </c>
      <c r="J54">
        <v>7833.4130329874843</v>
      </c>
      <c r="K54">
        <v>206.84271879505087</v>
      </c>
      <c r="L54">
        <v>0.3</v>
      </c>
      <c r="M54" s="3">
        <f t="shared" ref="M54:M61" si="18">(((PI()*((IF(G54=0,F54,G54)/1000)^2))/4)-((PI()*((IF(I54=0,H54,I54)/1000)^2))/4))*C54/1000*J54</f>
        <v>0</v>
      </c>
      <c r="N54" s="5">
        <f t="shared" ref="N54:N61" si="19">M54</f>
        <v>0</v>
      </c>
      <c r="O54" s="6">
        <f t="shared" si="4"/>
        <v>0</v>
      </c>
      <c r="P54" s="6">
        <f t="shared" si="5"/>
        <v>0</v>
      </c>
      <c r="AC54" s="19">
        <f t="shared" si="12"/>
        <v>0</v>
      </c>
      <c r="AD54">
        <f t="shared" si="13"/>
        <v>0</v>
      </c>
      <c r="AE54">
        <f t="shared" si="14"/>
        <v>0</v>
      </c>
      <c r="AF54">
        <f t="shared" si="15"/>
        <v>0</v>
      </c>
      <c r="AG54">
        <f t="shared" si="16"/>
        <v>0</v>
      </c>
      <c r="AH54">
        <f t="shared" si="17"/>
        <v>0</v>
      </c>
    </row>
    <row r="55" spans="1:34" hidden="1" x14ac:dyDescent="0.25">
      <c r="A55">
        <f t="shared" si="10"/>
        <v>50</v>
      </c>
      <c r="D55">
        <f t="shared" si="11"/>
        <v>0</v>
      </c>
      <c r="J55">
        <v>7833.4130329874843</v>
      </c>
      <c r="K55">
        <v>206.84271879505087</v>
      </c>
      <c r="L55">
        <v>0.3</v>
      </c>
      <c r="M55" s="3">
        <f t="shared" si="18"/>
        <v>0</v>
      </c>
      <c r="N55" s="5">
        <f t="shared" si="19"/>
        <v>0</v>
      </c>
      <c r="O55" s="6">
        <f t="shared" si="4"/>
        <v>0</v>
      </c>
      <c r="P55" s="6">
        <f t="shared" si="5"/>
        <v>0</v>
      </c>
      <c r="AC55" s="19">
        <f t="shared" si="12"/>
        <v>0</v>
      </c>
      <c r="AD55">
        <f t="shared" si="13"/>
        <v>0</v>
      </c>
      <c r="AE55">
        <f t="shared" si="14"/>
        <v>0</v>
      </c>
      <c r="AF55">
        <f t="shared" si="15"/>
        <v>0</v>
      </c>
      <c r="AG55">
        <f t="shared" si="16"/>
        <v>0</v>
      </c>
      <c r="AH55">
        <f t="shared" si="17"/>
        <v>0</v>
      </c>
    </row>
    <row r="56" spans="1:34" hidden="1" x14ac:dyDescent="0.25">
      <c r="A56">
        <f t="shared" si="10"/>
        <v>51</v>
      </c>
      <c r="D56">
        <f t="shared" si="11"/>
        <v>0</v>
      </c>
      <c r="J56">
        <v>7833.4130329874843</v>
      </c>
      <c r="K56">
        <v>206.84271879505087</v>
      </c>
      <c r="L56">
        <v>0.3</v>
      </c>
      <c r="M56" s="3">
        <f t="shared" si="18"/>
        <v>0</v>
      </c>
      <c r="N56" s="5">
        <f t="shared" si="19"/>
        <v>0</v>
      </c>
      <c r="O56" s="6">
        <f t="shared" si="4"/>
        <v>0</v>
      </c>
      <c r="P56" s="6">
        <f t="shared" si="5"/>
        <v>0</v>
      </c>
      <c r="AC56" s="19">
        <f t="shared" si="12"/>
        <v>0</v>
      </c>
      <c r="AD56">
        <f t="shared" si="13"/>
        <v>0</v>
      </c>
      <c r="AE56">
        <f t="shared" si="14"/>
        <v>0</v>
      </c>
      <c r="AF56">
        <f t="shared" si="15"/>
        <v>0</v>
      </c>
      <c r="AG56">
        <f t="shared" si="16"/>
        <v>0</v>
      </c>
      <c r="AH56">
        <f t="shared" si="17"/>
        <v>0</v>
      </c>
    </row>
    <row r="57" spans="1:34" hidden="1" x14ac:dyDescent="0.25">
      <c r="A57">
        <f t="shared" si="10"/>
        <v>52</v>
      </c>
      <c r="D57">
        <f t="shared" si="11"/>
        <v>0</v>
      </c>
      <c r="J57">
        <v>7833.4130329874843</v>
      </c>
      <c r="K57">
        <v>206.84271879505087</v>
      </c>
      <c r="L57">
        <v>0.3</v>
      </c>
      <c r="M57" s="3">
        <f t="shared" si="18"/>
        <v>0</v>
      </c>
      <c r="N57" s="5">
        <f t="shared" si="19"/>
        <v>0</v>
      </c>
      <c r="O57" s="6">
        <f t="shared" si="4"/>
        <v>0</v>
      </c>
      <c r="P57" s="6">
        <f t="shared" si="5"/>
        <v>0</v>
      </c>
      <c r="AC57" s="19">
        <f t="shared" si="12"/>
        <v>0</v>
      </c>
      <c r="AD57">
        <f t="shared" si="13"/>
        <v>0</v>
      </c>
      <c r="AE57">
        <f t="shared" si="14"/>
        <v>0</v>
      </c>
      <c r="AF57">
        <f t="shared" si="15"/>
        <v>0</v>
      </c>
      <c r="AG57">
        <f t="shared" si="16"/>
        <v>0</v>
      </c>
      <c r="AH57">
        <f t="shared" si="17"/>
        <v>0</v>
      </c>
    </row>
    <row r="58" spans="1:34" hidden="1" x14ac:dyDescent="0.25">
      <c r="A58">
        <f t="shared" si="10"/>
        <v>53</v>
      </c>
      <c r="D58">
        <f t="shared" si="11"/>
        <v>0</v>
      </c>
      <c r="J58">
        <v>7833.4130329874843</v>
      </c>
      <c r="K58">
        <v>206.84271879505087</v>
      </c>
      <c r="L58">
        <v>0.3</v>
      </c>
      <c r="M58" s="3">
        <f t="shared" si="18"/>
        <v>0</v>
      </c>
      <c r="N58" s="5">
        <f t="shared" si="19"/>
        <v>0</v>
      </c>
      <c r="O58" s="6">
        <f t="shared" si="4"/>
        <v>0</v>
      </c>
      <c r="P58" s="6">
        <f t="shared" si="5"/>
        <v>0</v>
      </c>
      <c r="AC58" s="19">
        <f t="shared" si="12"/>
        <v>0</v>
      </c>
      <c r="AD58">
        <f t="shared" si="13"/>
        <v>0</v>
      </c>
      <c r="AE58">
        <f t="shared" si="14"/>
        <v>0</v>
      </c>
      <c r="AF58">
        <f t="shared" si="15"/>
        <v>0</v>
      </c>
      <c r="AG58">
        <f t="shared" si="16"/>
        <v>0</v>
      </c>
      <c r="AH58">
        <f t="shared" si="17"/>
        <v>0</v>
      </c>
    </row>
    <row r="59" spans="1:34" hidden="1" x14ac:dyDescent="0.25">
      <c r="A59">
        <f t="shared" si="10"/>
        <v>54</v>
      </c>
      <c r="D59">
        <f t="shared" si="11"/>
        <v>0</v>
      </c>
      <c r="J59">
        <v>7833.4130329874843</v>
      </c>
      <c r="K59">
        <v>206.84271879505087</v>
      </c>
      <c r="L59">
        <v>0.3</v>
      </c>
      <c r="M59" s="3">
        <f t="shared" si="18"/>
        <v>0</v>
      </c>
      <c r="N59" s="5">
        <f t="shared" si="19"/>
        <v>0</v>
      </c>
      <c r="O59" s="6">
        <f t="shared" si="4"/>
        <v>0</v>
      </c>
      <c r="P59" s="6">
        <f t="shared" si="5"/>
        <v>0</v>
      </c>
      <c r="AC59" s="19">
        <f t="shared" si="12"/>
        <v>0</v>
      </c>
      <c r="AD59">
        <f t="shared" si="13"/>
        <v>0</v>
      </c>
      <c r="AE59">
        <f t="shared" si="14"/>
        <v>0</v>
      </c>
      <c r="AF59">
        <f t="shared" si="15"/>
        <v>0</v>
      </c>
      <c r="AG59">
        <f t="shared" si="16"/>
        <v>0</v>
      </c>
      <c r="AH59">
        <f t="shared" si="17"/>
        <v>0</v>
      </c>
    </row>
    <row r="60" spans="1:34" hidden="1" x14ac:dyDescent="0.25">
      <c r="A60">
        <f t="shared" si="10"/>
        <v>55</v>
      </c>
      <c r="D60">
        <f t="shared" si="11"/>
        <v>0</v>
      </c>
      <c r="J60">
        <v>7833.4130329874843</v>
      </c>
      <c r="K60">
        <v>206.84271879505087</v>
      </c>
      <c r="L60">
        <v>0.3</v>
      </c>
      <c r="M60" s="3">
        <f t="shared" si="18"/>
        <v>0</v>
      </c>
      <c r="N60" s="5">
        <f t="shared" si="19"/>
        <v>0</v>
      </c>
      <c r="O60" s="6">
        <f t="shared" si="4"/>
        <v>0</v>
      </c>
      <c r="P60" s="6">
        <f t="shared" si="5"/>
        <v>0</v>
      </c>
      <c r="AC60" s="19">
        <f t="shared" si="12"/>
        <v>0</v>
      </c>
      <c r="AD60">
        <f t="shared" si="13"/>
        <v>0</v>
      </c>
      <c r="AE60">
        <f t="shared" si="14"/>
        <v>0</v>
      </c>
      <c r="AF60">
        <f t="shared" si="15"/>
        <v>0</v>
      </c>
      <c r="AG60">
        <f t="shared" si="16"/>
        <v>0</v>
      </c>
      <c r="AH60">
        <f t="shared" si="17"/>
        <v>0</v>
      </c>
    </row>
    <row r="61" spans="1:34" hidden="1" x14ac:dyDescent="0.25">
      <c r="A61">
        <f t="shared" si="10"/>
        <v>56</v>
      </c>
      <c r="D61">
        <f t="shared" si="11"/>
        <v>0</v>
      </c>
      <c r="J61">
        <v>7833.4130329874843</v>
      </c>
      <c r="K61">
        <v>206.84271879505087</v>
      </c>
      <c r="L61">
        <v>0.3</v>
      </c>
      <c r="M61" s="3">
        <f t="shared" si="18"/>
        <v>0</v>
      </c>
      <c r="N61" s="5">
        <f t="shared" si="19"/>
        <v>0</v>
      </c>
      <c r="O61" s="6">
        <f t="shared" si="4"/>
        <v>0</v>
      </c>
      <c r="P61" s="6">
        <f t="shared" si="5"/>
        <v>0</v>
      </c>
      <c r="AC61" s="19">
        <f t="shared" si="12"/>
        <v>0</v>
      </c>
      <c r="AD61">
        <f t="shared" si="13"/>
        <v>0</v>
      </c>
      <c r="AE61">
        <f t="shared" si="14"/>
        <v>0</v>
      </c>
      <c r="AF61">
        <f t="shared" si="15"/>
        <v>0</v>
      </c>
      <c r="AG61">
        <f t="shared" si="16"/>
        <v>0</v>
      </c>
      <c r="AH61">
        <f t="shared" si="17"/>
        <v>0</v>
      </c>
    </row>
    <row r="62" spans="1:34" hidden="1" x14ac:dyDescent="0.25">
      <c r="A62">
        <f t="shared" si="10"/>
        <v>57</v>
      </c>
      <c r="D62">
        <f t="shared" si="11"/>
        <v>0</v>
      </c>
      <c r="J62">
        <v>7833.4130329874843</v>
      </c>
      <c r="K62">
        <v>206.84271879505087</v>
      </c>
      <c r="L62">
        <v>0.3</v>
      </c>
      <c r="M62" s="3">
        <f t="shared" ref="M62:M80" si="20">(((PI()*((IF(G62=0,F62,G62)/1000)^2))/4)-((PI()*((IF(I62=0,H62,I62)/1000)^2))/4))*C62/1000*J62</f>
        <v>0</v>
      </c>
      <c r="N62" s="5">
        <f t="shared" ref="N62:N80" si="21">M62</f>
        <v>0</v>
      </c>
      <c r="O62" s="6">
        <f t="shared" si="4"/>
        <v>0</v>
      </c>
      <c r="P62" s="6">
        <f t="shared" si="5"/>
        <v>0</v>
      </c>
      <c r="AC62" s="19">
        <f t="shared" si="12"/>
        <v>0</v>
      </c>
      <c r="AD62">
        <f t="shared" si="13"/>
        <v>0</v>
      </c>
      <c r="AE62">
        <f t="shared" si="14"/>
        <v>0</v>
      </c>
      <c r="AF62">
        <f t="shared" si="15"/>
        <v>0</v>
      </c>
      <c r="AG62">
        <f t="shared" si="16"/>
        <v>0</v>
      </c>
      <c r="AH62">
        <f t="shared" si="17"/>
        <v>0</v>
      </c>
    </row>
    <row r="63" spans="1:34" hidden="1" x14ac:dyDescent="0.25">
      <c r="A63">
        <f t="shared" si="10"/>
        <v>58</v>
      </c>
      <c r="D63">
        <f t="shared" si="11"/>
        <v>0</v>
      </c>
      <c r="J63">
        <v>7833.4130329874843</v>
      </c>
      <c r="K63">
        <v>206.84271879505087</v>
      </c>
      <c r="L63">
        <v>0.3</v>
      </c>
      <c r="M63" s="3">
        <f t="shared" si="20"/>
        <v>0</v>
      </c>
      <c r="N63" s="5">
        <f t="shared" si="21"/>
        <v>0</v>
      </c>
      <c r="O63" s="6">
        <f t="shared" si="4"/>
        <v>0</v>
      </c>
      <c r="P63" s="6">
        <f t="shared" si="5"/>
        <v>0</v>
      </c>
      <c r="AC63" s="19">
        <f t="shared" si="12"/>
        <v>0</v>
      </c>
      <c r="AD63">
        <f t="shared" si="13"/>
        <v>0</v>
      </c>
      <c r="AE63">
        <f t="shared" si="14"/>
        <v>0</v>
      </c>
      <c r="AF63">
        <f t="shared" si="15"/>
        <v>0</v>
      </c>
      <c r="AG63">
        <f t="shared" si="16"/>
        <v>0</v>
      </c>
      <c r="AH63">
        <f t="shared" si="17"/>
        <v>0</v>
      </c>
    </row>
    <row r="64" spans="1:34" hidden="1" x14ac:dyDescent="0.25">
      <c r="A64">
        <f t="shared" si="10"/>
        <v>59</v>
      </c>
      <c r="D64">
        <f t="shared" si="11"/>
        <v>0</v>
      </c>
      <c r="J64">
        <v>7833.4130329874843</v>
      </c>
      <c r="K64">
        <v>206.84271879505087</v>
      </c>
      <c r="L64">
        <v>0.3</v>
      </c>
      <c r="M64" s="3">
        <f t="shared" si="20"/>
        <v>0</v>
      </c>
      <c r="N64" s="5">
        <f t="shared" si="21"/>
        <v>0</v>
      </c>
      <c r="O64" s="6">
        <f t="shared" si="4"/>
        <v>0</v>
      </c>
      <c r="P64" s="6">
        <f t="shared" si="5"/>
        <v>0</v>
      </c>
      <c r="AC64" s="19">
        <f t="shared" si="12"/>
        <v>0</v>
      </c>
      <c r="AD64">
        <f t="shared" si="13"/>
        <v>0</v>
      </c>
      <c r="AE64">
        <f t="shared" si="14"/>
        <v>0</v>
      </c>
      <c r="AF64">
        <f t="shared" si="15"/>
        <v>0</v>
      </c>
      <c r="AG64">
        <f t="shared" si="16"/>
        <v>0</v>
      </c>
      <c r="AH64">
        <f t="shared" si="17"/>
        <v>0</v>
      </c>
    </row>
    <row r="65" spans="1:34" hidden="1" x14ac:dyDescent="0.25">
      <c r="A65">
        <f t="shared" si="10"/>
        <v>60</v>
      </c>
      <c r="D65">
        <f t="shared" si="11"/>
        <v>0</v>
      </c>
      <c r="J65">
        <v>7833.4130329874843</v>
      </c>
      <c r="K65">
        <v>206.84271879505087</v>
      </c>
      <c r="L65">
        <v>0.3</v>
      </c>
      <c r="M65" s="3">
        <f t="shared" si="20"/>
        <v>0</v>
      </c>
      <c r="N65" s="5">
        <f t="shared" si="21"/>
        <v>0</v>
      </c>
      <c r="O65" s="6">
        <f t="shared" si="4"/>
        <v>0</v>
      </c>
      <c r="P65" s="6">
        <f t="shared" si="5"/>
        <v>0</v>
      </c>
      <c r="AC65" s="19">
        <f t="shared" si="12"/>
        <v>0</v>
      </c>
      <c r="AD65">
        <f t="shared" si="13"/>
        <v>0</v>
      </c>
      <c r="AE65">
        <f t="shared" si="14"/>
        <v>0</v>
      </c>
      <c r="AF65">
        <f t="shared" si="15"/>
        <v>0</v>
      </c>
      <c r="AG65">
        <f t="shared" si="16"/>
        <v>0</v>
      </c>
      <c r="AH65">
        <f t="shared" si="17"/>
        <v>0</v>
      </c>
    </row>
    <row r="66" spans="1:34" hidden="1" x14ac:dyDescent="0.25">
      <c r="A66">
        <f t="shared" si="10"/>
        <v>61</v>
      </c>
      <c r="D66">
        <f t="shared" si="11"/>
        <v>0</v>
      </c>
      <c r="J66">
        <v>7833.4130329874843</v>
      </c>
      <c r="K66">
        <v>206.84271879505087</v>
      </c>
      <c r="L66">
        <v>0.3</v>
      </c>
      <c r="M66" s="3">
        <f t="shared" si="20"/>
        <v>0</v>
      </c>
      <c r="N66" s="5">
        <f t="shared" si="21"/>
        <v>0</v>
      </c>
      <c r="O66" s="6">
        <f t="shared" si="4"/>
        <v>0</v>
      </c>
      <c r="P66" s="6">
        <f t="shared" si="5"/>
        <v>0</v>
      </c>
      <c r="AC66" s="19">
        <f t="shared" si="12"/>
        <v>0</v>
      </c>
      <c r="AD66">
        <f t="shared" si="13"/>
        <v>0</v>
      </c>
      <c r="AE66">
        <f t="shared" si="14"/>
        <v>0</v>
      </c>
      <c r="AF66">
        <f t="shared" si="15"/>
        <v>0</v>
      </c>
      <c r="AG66">
        <f t="shared" si="16"/>
        <v>0</v>
      </c>
      <c r="AH66">
        <f t="shared" si="17"/>
        <v>0</v>
      </c>
    </row>
    <row r="67" spans="1:34" hidden="1" x14ac:dyDescent="0.25">
      <c r="A67">
        <f t="shared" si="10"/>
        <v>62</v>
      </c>
      <c r="D67">
        <f t="shared" si="11"/>
        <v>0</v>
      </c>
      <c r="J67">
        <v>7833.4130329874843</v>
      </c>
      <c r="K67">
        <v>206.84271879505087</v>
      </c>
      <c r="L67">
        <v>0.3</v>
      </c>
      <c r="M67" s="3">
        <f t="shared" si="20"/>
        <v>0</v>
      </c>
      <c r="N67" s="5">
        <f t="shared" si="21"/>
        <v>0</v>
      </c>
      <c r="O67" s="6">
        <f t="shared" si="4"/>
        <v>0</v>
      </c>
      <c r="P67" s="6">
        <f t="shared" si="5"/>
        <v>0</v>
      </c>
      <c r="AC67" s="19">
        <f t="shared" si="12"/>
        <v>0</v>
      </c>
      <c r="AD67">
        <f t="shared" si="13"/>
        <v>0</v>
      </c>
      <c r="AE67">
        <f t="shared" si="14"/>
        <v>0</v>
      </c>
      <c r="AF67">
        <f t="shared" si="15"/>
        <v>0</v>
      </c>
      <c r="AG67">
        <f t="shared" si="16"/>
        <v>0</v>
      </c>
      <c r="AH67">
        <f t="shared" si="17"/>
        <v>0</v>
      </c>
    </row>
    <row r="68" spans="1:34" hidden="1" x14ac:dyDescent="0.25">
      <c r="A68">
        <f t="shared" si="10"/>
        <v>63</v>
      </c>
      <c r="D68">
        <f t="shared" si="11"/>
        <v>0</v>
      </c>
      <c r="J68">
        <v>7833.4130329874843</v>
      </c>
      <c r="K68">
        <v>206.84271879505087</v>
      </c>
      <c r="L68">
        <v>0.3</v>
      </c>
      <c r="M68" s="3">
        <f t="shared" si="20"/>
        <v>0</v>
      </c>
      <c r="N68" s="5">
        <f t="shared" si="21"/>
        <v>0</v>
      </c>
      <c r="O68" s="6">
        <f t="shared" si="4"/>
        <v>0</v>
      </c>
      <c r="P68" s="6">
        <f t="shared" si="5"/>
        <v>0</v>
      </c>
      <c r="AC68" s="19">
        <f t="shared" si="12"/>
        <v>0</v>
      </c>
      <c r="AD68">
        <f t="shared" si="13"/>
        <v>0</v>
      </c>
      <c r="AE68">
        <f t="shared" si="14"/>
        <v>0</v>
      </c>
      <c r="AF68">
        <f t="shared" si="15"/>
        <v>0</v>
      </c>
      <c r="AG68">
        <f t="shared" si="16"/>
        <v>0</v>
      </c>
      <c r="AH68">
        <f t="shared" si="17"/>
        <v>0</v>
      </c>
    </row>
    <row r="69" spans="1:34" hidden="1" x14ac:dyDescent="0.25">
      <c r="A69">
        <f t="shared" si="10"/>
        <v>64</v>
      </c>
      <c r="D69">
        <f t="shared" si="11"/>
        <v>0</v>
      </c>
      <c r="J69">
        <v>7833.4130329874843</v>
      </c>
      <c r="K69">
        <v>206.84271879505087</v>
      </c>
      <c r="L69">
        <v>0.3</v>
      </c>
      <c r="M69" s="3">
        <f t="shared" si="20"/>
        <v>0</v>
      </c>
      <c r="N69" s="5">
        <f t="shared" si="21"/>
        <v>0</v>
      </c>
      <c r="O69" s="6">
        <f t="shared" si="4"/>
        <v>0</v>
      </c>
      <c r="P69" s="6">
        <f t="shared" si="5"/>
        <v>0</v>
      </c>
      <c r="AC69" s="19">
        <f t="shared" si="12"/>
        <v>0</v>
      </c>
      <c r="AD69">
        <f t="shared" si="13"/>
        <v>0</v>
      </c>
      <c r="AE69">
        <f t="shared" si="14"/>
        <v>0</v>
      </c>
      <c r="AF69">
        <f t="shared" si="15"/>
        <v>0</v>
      </c>
      <c r="AG69">
        <f t="shared" si="16"/>
        <v>0</v>
      </c>
      <c r="AH69">
        <f t="shared" si="17"/>
        <v>0</v>
      </c>
    </row>
    <row r="70" spans="1:34" hidden="1" x14ac:dyDescent="0.25">
      <c r="A70">
        <f t="shared" si="10"/>
        <v>65</v>
      </c>
      <c r="D70">
        <f t="shared" si="11"/>
        <v>0</v>
      </c>
      <c r="J70">
        <v>7833.4130329874843</v>
      </c>
      <c r="K70">
        <v>206.84271879505087</v>
      </c>
      <c r="L70">
        <v>0.3</v>
      </c>
      <c r="M70" s="3">
        <f t="shared" si="20"/>
        <v>0</v>
      </c>
      <c r="N70" s="5">
        <f t="shared" si="21"/>
        <v>0</v>
      </c>
      <c r="O70" s="6">
        <f t="shared" si="4"/>
        <v>0</v>
      </c>
      <c r="P70" s="6">
        <f t="shared" si="5"/>
        <v>0</v>
      </c>
      <c r="AC70" s="19">
        <f t="shared" si="12"/>
        <v>0</v>
      </c>
      <c r="AD70">
        <f t="shared" si="13"/>
        <v>0</v>
      </c>
      <c r="AE70">
        <f t="shared" si="14"/>
        <v>0</v>
      </c>
      <c r="AF70">
        <f t="shared" si="15"/>
        <v>0</v>
      </c>
      <c r="AG70">
        <f t="shared" si="16"/>
        <v>0</v>
      </c>
      <c r="AH70">
        <f t="shared" si="17"/>
        <v>0</v>
      </c>
    </row>
    <row r="71" spans="1:34" hidden="1" x14ac:dyDescent="0.25">
      <c r="A71">
        <f t="shared" si="10"/>
        <v>66</v>
      </c>
      <c r="D71">
        <f t="shared" si="11"/>
        <v>0</v>
      </c>
      <c r="J71">
        <v>7833.4130329874843</v>
      </c>
      <c r="K71">
        <v>206.84271879505087</v>
      </c>
      <c r="L71">
        <v>0.3</v>
      </c>
      <c r="M71" s="3">
        <f t="shared" si="20"/>
        <v>0</v>
      </c>
      <c r="N71" s="5">
        <f t="shared" si="21"/>
        <v>0</v>
      </c>
      <c r="O71" s="6">
        <f t="shared" si="4"/>
        <v>0</v>
      </c>
      <c r="P71" s="6">
        <f t="shared" si="5"/>
        <v>0</v>
      </c>
      <c r="AC71" s="19">
        <f t="shared" si="12"/>
        <v>0</v>
      </c>
      <c r="AD71">
        <f t="shared" si="13"/>
        <v>0</v>
      </c>
      <c r="AE71">
        <f t="shared" si="14"/>
        <v>0</v>
      </c>
      <c r="AF71">
        <f t="shared" si="15"/>
        <v>0</v>
      </c>
      <c r="AG71">
        <f t="shared" si="16"/>
        <v>0</v>
      </c>
      <c r="AH71">
        <f t="shared" si="17"/>
        <v>0</v>
      </c>
    </row>
    <row r="72" spans="1:34" hidden="1" x14ac:dyDescent="0.25">
      <c r="A72">
        <f t="shared" ref="A72:A100" si="22">A71+1</f>
        <v>67</v>
      </c>
      <c r="D72">
        <f t="shared" ref="D72:D100" si="23">D71+C71</f>
        <v>0</v>
      </c>
      <c r="J72">
        <v>7833.4130329874843</v>
      </c>
      <c r="K72">
        <v>206.84271879505087</v>
      </c>
      <c r="L72">
        <v>0.3</v>
      </c>
      <c r="M72" s="3">
        <f t="shared" si="20"/>
        <v>0</v>
      </c>
      <c r="N72" s="5">
        <f t="shared" si="21"/>
        <v>0</v>
      </c>
      <c r="O72" s="6">
        <f t="shared" ref="O72:O100" si="24">M72/2*(IF(G72&gt;0,G72/2,F72/2)^2+IF(I72=0,H72/2,I72/2)^2)</f>
        <v>0</v>
      </c>
      <c r="P72" s="6">
        <f t="shared" ref="P72:P100" si="25">M72/48*(3*IF(G72&gt;0,G72,F72)^2+3*IF(I72=0,H72,I72)^2+4*C72^2)</f>
        <v>0</v>
      </c>
      <c r="AC72" s="19">
        <f t="shared" si="12"/>
        <v>0</v>
      </c>
      <c r="AD72">
        <f t="shared" si="13"/>
        <v>0</v>
      </c>
      <c r="AE72">
        <f t="shared" si="14"/>
        <v>0</v>
      </c>
      <c r="AF72">
        <f t="shared" si="15"/>
        <v>0</v>
      </c>
      <c r="AG72">
        <f t="shared" si="16"/>
        <v>0</v>
      </c>
      <c r="AH72">
        <f t="shared" si="17"/>
        <v>0</v>
      </c>
    </row>
    <row r="73" spans="1:34" hidden="1" x14ac:dyDescent="0.25">
      <c r="A73">
        <f t="shared" si="22"/>
        <v>68</v>
      </c>
      <c r="D73">
        <f t="shared" si="23"/>
        <v>0</v>
      </c>
      <c r="J73">
        <v>7833.4130329874843</v>
      </c>
      <c r="K73">
        <v>206.84271879505087</v>
      </c>
      <c r="L73">
        <v>0.3</v>
      </c>
      <c r="M73" s="3">
        <f t="shared" si="20"/>
        <v>0</v>
      </c>
      <c r="N73" s="5">
        <f t="shared" si="21"/>
        <v>0</v>
      </c>
      <c r="O73" s="6">
        <f t="shared" si="24"/>
        <v>0</v>
      </c>
      <c r="P73" s="6">
        <f t="shared" si="25"/>
        <v>0</v>
      </c>
      <c r="AC73" s="19">
        <f t="shared" si="12"/>
        <v>0</v>
      </c>
      <c r="AD73">
        <f t="shared" si="13"/>
        <v>0</v>
      </c>
      <c r="AE73">
        <f t="shared" si="14"/>
        <v>0</v>
      </c>
      <c r="AF73">
        <f t="shared" si="15"/>
        <v>0</v>
      </c>
      <c r="AG73">
        <f t="shared" si="16"/>
        <v>0</v>
      </c>
      <c r="AH73">
        <f t="shared" si="17"/>
        <v>0</v>
      </c>
    </row>
    <row r="74" spans="1:34" hidden="1" x14ac:dyDescent="0.25">
      <c r="A74">
        <f t="shared" si="22"/>
        <v>69</v>
      </c>
      <c r="D74">
        <f t="shared" si="23"/>
        <v>0</v>
      </c>
      <c r="J74">
        <v>7833.4130329874843</v>
      </c>
      <c r="K74">
        <v>206.84271879505087</v>
      </c>
      <c r="L74">
        <v>0.3</v>
      </c>
      <c r="M74" s="3">
        <f t="shared" si="20"/>
        <v>0</v>
      </c>
      <c r="N74" s="5">
        <f t="shared" si="21"/>
        <v>0</v>
      </c>
      <c r="O74" s="6">
        <f t="shared" si="24"/>
        <v>0</v>
      </c>
      <c r="P74" s="6">
        <f t="shared" si="25"/>
        <v>0</v>
      </c>
      <c r="AC74" s="19">
        <f t="shared" si="12"/>
        <v>0</v>
      </c>
      <c r="AD74">
        <f t="shared" si="13"/>
        <v>0</v>
      </c>
      <c r="AE74">
        <f t="shared" si="14"/>
        <v>0</v>
      </c>
      <c r="AF74">
        <f t="shared" si="15"/>
        <v>0</v>
      </c>
      <c r="AG74">
        <f t="shared" si="16"/>
        <v>0</v>
      </c>
      <c r="AH74">
        <f t="shared" si="17"/>
        <v>0</v>
      </c>
    </row>
    <row r="75" spans="1:34" hidden="1" x14ac:dyDescent="0.25">
      <c r="A75">
        <f t="shared" si="22"/>
        <v>70</v>
      </c>
      <c r="D75">
        <f t="shared" si="23"/>
        <v>0</v>
      </c>
      <c r="J75">
        <v>7833.4130329874843</v>
      </c>
      <c r="K75">
        <v>206.84271879505087</v>
      </c>
      <c r="L75">
        <v>0.3</v>
      </c>
      <c r="M75" s="3">
        <f t="shared" si="20"/>
        <v>0</v>
      </c>
      <c r="N75" s="5">
        <f t="shared" si="21"/>
        <v>0</v>
      </c>
      <c r="O75" s="6">
        <f t="shared" si="24"/>
        <v>0</v>
      </c>
      <c r="P75" s="6">
        <f t="shared" si="25"/>
        <v>0</v>
      </c>
      <c r="AC75" s="19">
        <f t="shared" si="12"/>
        <v>0</v>
      </c>
      <c r="AD75">
        <f t="shared" si="13"/>
        <v>0</v>
      </c>
      <c r="AE75">
        <f t="shared" si="14"/>
        <v>0</v>
      </c>
      <c r="AF75">
        <f t="shared" si="15"/>
        <v>0</v>
      </c>
      <c r="AG75">
        <f t="shared" si="16"/>
        <v>0</v>
      </c>
      <c r="AH75">
        <f t="shared" si="17"/>
        <v>0</v>
      </c>
    </row>
    <row r="76" spans="1:34" hidden="1" x14ac:dyDescent="0.25">
      <c r="A76">
        <f t="shared" si="22"/>
        <v>71</v>
      </c>
      <c r="D76">
        <f t="shared" si="23"/>
        <v>0</v>
      </c>
      <c r="J76">
        <v>7833.4130329874843</v>
      </c>
      <c r="K76">
        <v>206.84271879505087</v>
      </c>
      <c r="L76">
        <v>0.3</v>
      </c>
      <c r="M76" s="3">
        <f t="shared" si="20"/>
        <v>0</v>
      </c>
      <c r="N76" s="5">
        <f t="shared" si="21"/>
        <v>0</v>
      </c>
      <c r="O76" s="6">
        <f t="shared" si="24"/>
        <v>0</v>
      </c>
      <c r="P76" s="6">
        <f t="shared" si="25"/>
        <v>0</v>
      </c>
      <c r="AC76" s="19">
        <f t="shared" si="12"/>
        <v>0</v>
      </c>
      <c r="AD76">
        <f t="shared" si="13"/>
        <v>0</v>
      </c>
      <c r="AE76">
        <f t="shared" si="14"/>
        <v>0</v>
      </c>
      <c r="AF76">
        <f t="shared" si="15"/>
        <v>0</v>
      </c>
      <c r="AG76">
        <f t="shared" si="16"/>
        <v>0</v>
      </c>
      <c r="AH76">
        <f t="shared" si="17"/>
        <v>0</v>
      </c>
    </row>
    <row r="77" spans="1:34" hidden="1" x14ac:dyDescent="0.25">
      <c r="A77">
        <f t="shared" si="22"/>
        <v>72</v>
      </c>
      <c r="D77">
        <f t="shared" si="23"/>
        <v>0</v>
      </c>
      <c r="J77">
        <v>7833.4130329874843</v>
      </c>
      <c r="K77">
        <v>206.84271879505087</v>
      </c>
      <c r="L77">
        <v>0.3</v>
      </c>
      <c r="M77" s="3">
        <f t="shared" si="20"/>
        <v>0</v>
      </c>
      <c r="N77" s="5">
        <f t="shared" si="21"/>
        <v>0</v>
      </c>
      <c r="O77" s="6">
        <f t="shared" si="24"/>
        <v>0</v>
      </c>
      <c r="P77" s="6">
        <f t="shared" si="25"/>
        <v>0</v>
      </c>
      <c r="AC77" s="19">
        <f t="shared" si="12"/>
        <v>0</v>
      </c>
      <c r="AD77">
        <f t="shared" si="13"/>
        <v>0</v>
      </c>
      <c r="AE77">
        <f t="shared" si="14"/>
        <v>0</v>
      </c>
      <c r="AF77">
        <f t="shared" si="15"/>
        <v>0</v>
      </c>
      <c r="AG77">
        <f t="shared" si="16"/>
        <v>0</v>
      </c>
      <c r="AH77">
        <f t="shared" si="17"/>
        <v>0</v>
      </c>
    </row>
    <row r="78" spans="1:34" hidden="1" x14ac:dyDescent="0.25">
      <c r="A78">
        <f t="shared" si="22"/>
        <v>73</v>
      </c>
      <c r="D78">
        <f t="shared" si="23"/>
        <v>0</v>
      </c>
      <c r="J78">
        <v>7833.4130329874843</v>
      </c>
      <c r="K78">
        <v>206.84271879505087</v>
      </c>
      <c r="L78">
        <v>0.3</v>
      </c>
      <c r="M78" s="3">
        <f t="shared" si="20"/>
        <v>0</v>
      </c>
      <c r="N78" s="5">
        <f t="shared" si="21"/>
        <v>0</v>
      </c>
      <c r="O78" s="6">
        <f t="shared" si="24"/>
        <v>0</v>
      </c>
      <c r="P78" s="6">
        <f t="shared" si="25"/>
        <v>0</v>
      </c>
      <c r="AC78" s="19">
        <f t="shared" si="12"/>
        <v>0</v>
      </c>
      <c r="AD78">
        <f t="shared" si="13"/>
        <v>0</v>
      </c>
      <c r="AE78">
        <f t="shared" si="14"/>
        <v>0</v>
      </c>
      <c r="AF78">
        <f t="shared" si="15"/>
        <v>0</v>
      </c>
      <c r="AG78">
        <f t="shared" si="16"/>
        <v>0</v>
      </c>
      <c r="AH78">
        <f t="shared" si="17"/>
        <v>0</v>
      </c>
    </row>
    <row r="79" spans="1:34" hidden="1" x14ac:dyDescent="0.25">
      <c r="A79">
        <f t="shared" si="22"/>
        <v>74</v>
      </c>
      <c r="D79">
        <f t="shared" si="23"/>
        <v>0</v>
      </c>
      <c r="J79">
        <v>7833.4130329874843</v>
      </c>
      <c r="K79">
        <v>206.84271879505087</v>
      </c>
      <c r="L79">
        <v>0.3</v>
      </c>
      <c r="M79" s="3">
        <f t="shared" si="20"/>
        <v>0</v>
      </c>
      <c r="N79" s="5">
        <f t="shared" si="21"/>
        <v>0</v>
      </c>
      <c r="O79" s="6">
        <f t="shared" si="24"/>
        <v>0</v>
      </c>
      <c r="P79" s="6">
        <f t="shared" si="25"/>
        <v>0</v>
      </c>
      <c r="AC79" s="19">
        <f t="shared" si="12"/>
        <v>0</v>
      </c>
      <c r="AD79">
        <f t="shared" si="13"/>
        <v>0</v>
      </c>
      <c r="AE79">
        <f t="shared" si="14"/>
        <v>0</v>
      </c>
      <c r="AF79">
        <f t="shared" si="15"/>
        <v>0</v>
      </c>
      <c r="AG79">
        <f t="shared" si="16"/>
        <v>0</v>
      </c>
      <c r="AH79">
        <f t="shared" si="17"/>
        <v>0</v>
      </c>
    </row>
    <row r="80" spans="1:34" hidden="1" x14ac:dyDescent="0.25">
      <c r="A80">
        <f t="shared" si="22"/>
        <v>75</v>
      </c>
      <c r="D80">
        <f t="shared" si="23"/>
        <v>0</v>
      </c>
      <c r="J80">
        <v>7833.4130329874843</v>
      </c>
      <c r="K80">
        <v>206.84271879505087</v>
      </c>
      <c r="L80">
        <v>0.3</v>
      </c>
      <c r="M80" s="3">
        <f t="shared" si="20"/>
        <v>0</v>
      </c>
      <c r="N80" s="5">
        <f t="shared" si="21"/>
        <v>0</v>
      </c>
      <c r="O80" s="6">
        <f t="shared" si="24"/>
        <v>0</v>
      </c>
      <c r="P80" s="6">
        <f t="shared" si="25"/>
        <v>0</v>
      </c>
      <c r="AC80" s="19">
        <f t="shared" si="12"/>
        <v>0</v>
      </c>
      <c r="AD80">
        <f t="shared" si="13"/>
        <v>0</v>
      </c>
      <c r="AE80">
        <f t="shared" si="14"/>
        <v>0</v>
      </c>
      <c r="AF80">
        <f t="shared" si="15"/>
        <v>0</v>
      </c>
      <c r="AG80">
        <f t="shared" si="16"/>
        <v>0</v>
      </c>
      <c r="AH80">
        <f t="shared" si="17"/>
        <v>0</v>
      </c>
    </row>
    <row r="81" spans="1:34" hidden="1" x14ac:dyDescent="0.25">
      <c r="A81">
        <f t="shared" si="22"/>
        <v>76</v>
      </c>
      <c r="D81">
        <f t="shared" si="23"/>
        <v>0</v>
      </c>
      <c r="J81">
        <v>7833.4130329874843</v>
      </c>
      <c r="K81">
        <v>206.84271879505087</v>
      </c>
      <c r="L81">
        <v>0.3</v>
      </c>
      <c r="M81" s="3">
        <f t="shared" ref="M81:M100" si="26">(((PI()*((IF(G81=0,F81,G81)/1000)^2))/4)-((PI()*((IF(I81=0,H81,I81)/1000)^2))/4))*C81/1000*J81</f>
        <v>0</v>
      </c>
      <c r="N81" s="5">
        <f t="shared" ref="N81:N100" si="27">M81</f>
        <v>0</v>
      </c>
      <c r="O81" s="6">
        <f t="shared" si="24"/>
        <v>0</v>
      </c>
      <c r="P81" s="6">
        <f t="shared" si="25"/>
        <v>0</v>
      </c>
      <c r="AC81" s="19">
        <f t="shared" ref="AC81:AC100" si="28">AC80+C80</f>
        <v>0</v>
      </c>
      <c r="AD81">
        <f t="shared" ref="AD81:AD100" si="29">N80/2+N81/2+Q81</f>
        <v>0</v>
      </c>
      <c r="AE81">
        <f t="shared" ref="AE81:AE100" si="30">(AC81-$AC$3)*AD81</f>
        <v>0</v>
      </c>
      <c r="AF81">
        <f t="shared" ref="AF81:AF100" si="31">M81/2+M80/2+P81</f>
        <v>0</v>
      </c>
      <c r="AG81">
        <f t="shared" ref="AG81:AG100" si="32">S81+P81/2+N81/2*(C81/2)^2</f>
        <v>0</v>
      </c>
      <c r="AH81">
        <f t="shared" ref="AH81:AH100" si="33">S81+Q81*(AG81-$AG$104)^2+P81+N81*(AE81-$AG$104+C81/2)^2</f>
        <v>0</v>
      </c>
    </row>
    <row r="82" spans="1:34" hidden="1" x14ac:dyDescent="0.25">
      <c r="A82">
        <f t="shared" si="22"/>
        <v>77</v>
      </c>
      <c r="D82">
        <f t="shared" si="23"/>
        <v>0</v>
      </c>
      <c r="J82">
        <v>7833.4130329874843</v>
      </c>
      <c r="K82">
        <v>206.84271879505087</v>
      </c>
      <c r="L82">
        <v>0.3</v>
      </c>
      <c r="M82" s="3">
        <f t="shared" si="26"/>
        <v>0</v>
      </c>
      <c r="N82" s="5">
        <f t="shared" si="27"/>
        <v>0</v>
      </c>
      <c r="O82" s="6">
        <f t="shared" si="24"/>
        <v>0</v>
      </c>
      <c r="P82" s="6">
        <f t="shared" si="25"/>
        <v>0</v>
      </c>
      <c r="AC82" s="19">
        <f t="shared" si="28"/>
        <v>0</v>
      </c>
      <c r="AD82">
        <f t="shared" si="29"/>
        <v>0</v>
      </c>
      <c r="AE82">
        <f t="shared" si="30"/>
        <v>0</v>
      </c>
      <c r="AF82">
        <f t="shared" si="31"/>
        <v>0</v>
      </c>
      <c r="AG82">
        <f t="shared" si="32"/>
        <v>0</v>
      </c>
      <c r="AH82">
        <f t="shared" si="33"/>
        <v>0</v>
      </c>
    </row>
    <row r="83" spans="1:34" hidden="1" x14ac:dyDescent="0.25">
      <c r="A83">
        <f t="shared" si="22"/>
        <v>78</v>
      </c>
      <c r="D83">
        <f t="shared" si="23"/>
        <v>0</v>
      </c>
      <c r="J83">
        <v>7833.4130329874843</v>
      </c>
      <c r="K83">
        <v>206.84271879505087</v>
      </c>
      <c r="L83">
        <v>0.3</v>
      </c>
      <c r="M83" s="3">
        <f t="shared" si="26"/>
        <v>0</v>
      </c>
      <c r="N83" s="5">
        <f t="shared" si="27"/>
        <v>0</v>
      </c>
      <c r="O83" s="6">
        <f t="shared" si="24"/>
        <v>0</v>
      </c>
      <c r="P83" s="6">
        <f t="shared" si="25"/>
        <v>0</v>
      </c>
      <c r="AC83" s="19">
        <f t="shared" si="28"/>
        <v>0</v>
      </c>
      <c r="AD83">
        <f t="shared" si="29"/>
        <v>0</v>
      </c>
      <c r="AE83">
        <f t="shared" si="30"/>
        <v>0</v>
      </c>
      <c r="AF83">
        <f t="shared" si="31"/>
        <v>0</v>
      </c>
      <c r="AG83">
        <f t="shared" si="32"/>
        <v>0</v>
      </c>
      <c r="AH83">
        <f t="shared" si="33"/>
        <v>0</v>
      </c>
    </row>
    <row r="84" spans="1:34" hidden="1" x14ac:dyDescent="0.25">
      <c r="A84">
        <f t="shared" si="22"/>
        <v>79</v>
      </c>
      <c r="D84">
        <f t="shared" si="23"/>
        <v>0</v>
      </c>
      <c r="J84">
        <v>7833.4130329874843</v>
      </c>
      <c r="K84">
        <v>206.84271879505087</v>
      </c>
      <c r="L84">
        <v>0.3</v>
      </c>
      <c r="M84" s="3">
        <f t="shared" si="26"/>
        <v>0</v>
      </c>
      <c r="N84" s="5">
        <f t="shared" si="27"/>
        <v>0</v>
      </c>
      <c r="O84" s="6">
        <f t="shared" si="24"/>
        <v>0</v>
      </c>
      <c r="P84" s="6">
        <f t="shared" si="25"/>
        <v>0</v>
      </c>
      <c r="AC84" s="19">
        <f t="shared" si="28"/>
        <v>0</v>
      </c>
      <c r="AD84">
        <f t="shared" si="29"/>
        <v>0</v>
      </c>
      <c r="AE84">
        <f t="shared" si="30"/>
        <v>0</v>
      </c>
      <c r="AF84">
        <f t="shared" si="31"/>
        <v>0</v>
      </c>
      <c r="AG84">
        <f t="shared" si="32"/>
        <v>0</v>
      </c>
      <c r="AH84">
        <f t="shared" si="33"/>
        <v>0</v>
      </c>
    </row>
    <row r="85" spans="1:34" hidden="1" x14ac:dyDescent="0.25">
      <c r="A85">
        <f t="shared" si="22"/>
        <v>80</v>
      </c>
      <c r="D85">
        <f t="shared" si="23"/>
        <v>0</v>
      </c>
      <c r="J85">
        <v>7833.4130329874843</v>
      </c>
      <c r="K85">
        <v>206.84271879505087</v>
      </c>
      <c r="L85">
        <v>0.3</v>
      </c>
      <c r="M85" s="3">
        <f t="shared" si="26"/>
        <v>0</v>
      </c>
      <c r="N85" s="5">
        <f t="shared" si="27"/>
        <v>0</v>
      </c>
      <c r="O85" s="6">
        <f t="shared" si="24"/>
        <v>0</v>
      </c>
      <c r="P85" s="6">
        <f t="shared" si="25"/>
        <v>0</v>
      </c>
      <c r="AC85" s="19">
        <f t="shared" si="28"/>
        <v>0</v>
      </c>
      <c r="AD85">
        <f t="shared" si="29"/>
        <v>0</v>
      </c>
      <c r="AE85">
        <f t="shared" si="30"/>
        <v>0</v>
      </c>
      <c r="AF85">
        <f t="shared" si="31"/>
        <v>0</v>
      </c>
      <c r="AG85">
        <f t="shared" si="32"/>
        <v>0</v>
      </c>
      <c r="AH85">
        <f t="shared" si="33"/>
        <v>0</v>
      </c>
    </row>
    <row r="86" spans="1:34" hidden="1" x14ac:dyDescent="0.25">
      <c r="A86">
        <f t="shared" si="22"/>
        <v>81</v>
      </c>
      <c r="D86">
        <f t="shared" si="23"/>
        <v>0</v>
      </c>
      <c r="J86">
        <v>7833.4130329874843</v>
      </c>
      <c r="K86">
        <v>206.84271879505087</v>
      </c>
      <c r="L86">
        <v>0.3</v>
      </c>
      <c r="M86" s="3">
        <f t="shared" si="26"/>
        <v>0</v>
      </c>
      <c r="N86" s="5">
        <f t="shared" si="27"/>
        <v>0</v>
      </c>
      <c r="O86" s="6">
        <f t="shared" si="24"/>
        <v>0</v>
      </c>
      <c r="P86" s="6">
        <f t="shared" si="25"/>
        <v>0</v>
      </c>
      <c r="AC86" s="19">
        <f t="shared" si="28"/>
        <v>0</v>
      </c>
      <c r="AD86">
        <f t="shared" si="29"/>
        <v>0</v>
      </c>
      <c r="AE86">
        <f t="shared" si="30"/>
        <v>0</v>
      </c>
      <c r="AF86">
        <f t="shared" si="31"/>
        <v>0</v>
      </c>
      <c r="AG86">
        <f t="shared" si="32"/>
        <v>0</v>
      </c>
      <c r="AH86">
        <f t="shared" si="33"/>
        <v>0</v>
      </c>
    </row>
    <row r="87" spans="1:34" hidden="1" x14ac:dyDescent="0.25">
      <c r="A87">
        <f t="shared" si="22"/>
        <v>82</v>
      </c>
      <c r="D87">
        <f t="shared" si="23"/>
        <v>0</v>
      </c>
      <c r="J87">
        <v>7833.4130329874843</v>
      </c>
      <c r="K87">
        <v>206.84271879505087</v>
      </c>
      <c r="L87">
        <v>0.3</v>
      </c>
      <c r="M87" s="3">
        <f t="shared" si="26"/>
        <v>0</v>
      </c>
      <c r="N87" s="5">
        <f t="shared" si="27"/>
        <v>0</v>
      </c>
      <c r="O87" s="6">
        <f t="shared" si="24"/>
        <v>0</v>
      </c>
      <c r="P87" s="6">
        <f t="shared" si="25"/>
        <v>0</v>
      </c>
      <c r="AC87" s="19">
        <f t="shared" si="28"/>
        <v>0</v>
      </c>
      <c r="AD87">
        <f t="shared" si="29"/>
        <v>0</v>
      </c>
      <c r="AE87">
        <f t="shared" si="30"/>
        <v>0</v>
      </c>
      <c r="AF87">
        <f t="shared" si="31"/>
        <v>0</v>
      </c>
      <c r="AG87">
        <f t="shared" si="32"/>
        <v>0</v>
      </c>
      <c r="AH87">
        <f t="shared" si="33"/>
        <v>0</v>
      </c>
    </row>
    <row r="88" spans="1:34" hidden="1" x14ac:dyDescent="0.25">
      <c r="A88">
        <f t="shared" si="22"/>
        <v>83</v>
      </c>
      <c r="D88">
        <f t="shared" si="23"/>
        <v>0</v>
      </c>
      <c r="J88">
        <v>7833.4130329874843</v>
      </c>
      <c r="K88">
        <v>206.84271879505087</v>
      </c>
      <c r="L88">
        <v>0.3</v>
      </c>
      <c r="M88" s="3">
        <f t="shared" si="26"/>
        <v>0</v>
      </c>
      <c r="N88" s="5">
        <f t="shared" si="27"/>
        <v>0</v>
      </c>
      <c r="O88" s="6">
        <f t="shared" si="24"/>
        <v>0</v>
      </c>
      <c r="P88" s="6">
        <f t="shared" si="25"/>
        <v>0</v>
      </c>
      <c r="AC88" s="19">
        <f t="shared" si="28"/>
        <v>0</v>
      </c>
      <c r="AD88">
        <f t="shared" si="29"/>
        <v>0</v>
      </c>
      <c r="AE88">
        <f t="shared" si="30"/>
        <v>0</v>
      </c>
      <c r="AF88">
        <f t="shared" si="31"/>
        <v>0</v>
      </c>
      <c r="AG88">
        <f t="shared" si="32"/>
        <v>0</v>
      </c>
      <c r="AH88">
        <f t="shared" si="33"/>
        <v>0</v>
      </c>
    </row>
    <row r="89" spans="1:34" hidden="1" x14ac:dyDescent="0.25">
      <c r="A89">
        <f t="shared" si="22"/>
        <v>84</v>
      </c>
      <c r="D89">
        <f t="shared" si="23"/>
        <v>0</v>
      </c>
      <c r="J89">
        <v>7833.4130329874843</v>
      </c>
      <c r="K89">
        <v>206.84271879505087</v>
      </c>
      <c r="L89">
        <v>0.3</v>
      </c>
      <c r="M89" s="3">
        <f t="shared" si="26"/>
        <v>0</v>
      </c>
      <c r="N89" s="5">
        <f t="shared" si="27"/>
        <v>0</v>
      </c>
      <c r="O89" s="6">
        <f t="shared" si="24"/>
        <v>0</v>
      </c>
      <c r="P89" s="6">
        <f t="shared" si="25"/>
        <v>0</v>
      </c>
      <c r="AC89" s="19">
        <f t="shared" si="28"/>
        <v>0</v>
      </c>
      <c r="AD89">
        <f t="shared" si="29"/>
        <v>0</v>
      </c>
      <c r="AE89">
        <f t="shared" si="30"/>
        <v>0</v>
      </c>
      <c r="AF89">
        <f t="shared" si="31"/>
        <v>0</v>
      </c>
      <c r="AG89">
        <f t="shared" si="32"/>
        <v>0</v>
      </c>
      <c r="AH89">
        <f t="shared" si="33"/>
        <v>0</v>
      </c>
    </row>
    <row r="90" spans="1:34" hidden="1" x14ac:dyDescent="0.25">
      <c r="A90">
        <f t="shared" si="22"/>
        <v>85</v>
      </c>
      <c r="D90">
        <f t="shared" si="23"/>
        <v>0</v>
      </c>
      <c r="J90">
        <v>7833.4130329874843</v>
      </c>
      <c r="K90">
        <v>206.84271879505087</v>
      </c>
      <c r="L90">
        <v>0.3</v>
      </c>
      <c r="M90" s="3">
        <f t="shared" si="26"/>
        <v>0</v>
      </c>
      <c r="N90" s="5">
        <f t="shared" si="27"/>
        <v>0</v>
      </c>
      <c r="O90" s="6">
        <f t="shared" si="24"/>
        <v>0</v>
      </c>
      <c r="P90" s="6">
        <f t="shared" si="25"/>
        <v>0</v>
      </c>
      <c r="AC90" s="19">
        <f t="shared" si="28"/>
        <v>0</v>
      </c>
      <c r="AD90">
        <f t="shared" si="29"/>
        <v>0</v>
      </c>
      <c r="AE90">
        <f t="shared" si="30"/>
        <v>0</v>
      </c>
      <c r="AF90">
        <f t="shared" si="31"/>
        <v>0</v>
      </c>
      <c r="AG90">
        <f t="shared" si="32"/>
        <v>0</v>
      </c>
      <c r="AH90">
        <f t="shared" si="33"/>
        <v>0</v>
      </c>
    </row>
    <row r="91" spans="1:34" hidden="1" x14ac:dyDescent="0.25">
      <c r="A91">
        <f t="shared" si="22"/>
        <v>86</v>
      </c>
      <c r="D91">
        <f t="shared" si="23"/>
        <v>0</v>
      </c>
      <c r="J91">
        <v>7833.4130329874843</v>
      </c>
      <c r="K91">
        <v>206.84271879505087</v>
      </c>
      <c r="L91">
        <v>0.3</v>
      </c>
      <c r="M91" s="3">
        <f t="shared" si="26"/>
        <v>0</v>
      </c>
      <c r="N91" s="5">
        <f t="shared" si="27"/>
        <v>0</v>
      </c>
      <c r="O91" s="6">
        <f t="shared" si="24"/>
        <v>0</v>
      </c>
      <c r="P91" s="6">
        <f t="shared" si="25"/>
        <v>0</v>
      </c>
      <c r="AC91" s="19">
        <f t="shared" si="28"/>
        <v>0</v>
      </c>
      <c r="AD91">
        <f t="shared" si="29"/>
        <v>0</v>
      </c>
      <c r="AE91">
        <f t="shared" si="30"/>
        <v>0</v>
      </c>
      <c r="AF91">
        <f t="shared" si="31"/>
        <v>0</v>
      </c>
      <c r="AG91">
        <f t="shared" si="32"/>
        <v>0</v>
      </c>
      <c r="AH91">
        <f t="shared" si="33"/>
        <v>0</v>
      </c>
    </row>
    <row r="92" spans="1:34" hidden="1" x14ac:dyDescent="0.25">
      <c r="A92">
        <f t="shared" si="22"/>
        <v>87</v>
      </c>
      <c r="D92">
        <f t="shared" si="23"/>
        <v>0</v>
      </c>
      <c r="J92">
        <v>7833.4130329874843</v>
      </c>
      <c r="K92">
        <v>206.84271879505087</v>
      </c>
      <c r="L92">
        <v>0.3</v>
      </c>
      <c r="M92" s="3">
        <f t="shared" si="26"/>
        <v>0</v>
      </c>
      <c r="N92" s="5">
        <f t="shared" si="27"/>
        <v>0</v>
      </c>
      <c r="O92" s="6">
        <f t="shared" si="24"/>
        <v>0</v>
      </c>
      <c r="P92" s="6">
        <f t="shared" si="25"/>
        <v>0</v>
      </c>
      <c r="AC92" s="19">
        <f t="shared" si="28"/>
        <v>0</v>
      </c>
      <c r="AD92">
        <f t="shared" si="29"/>
        <v>0</v>
      </c>
      <c r="AE92">
        <f t="shared" si="30"/>
        <v>0</v>
      </c>
      <c r="AF92">
        <f t="shared" si="31"/>
        <v>0</v>
      </c>
      <c r="AG92">
        <f t="shared" si="32"/>
        <v>0</v>
      </c>
      <c r="AH92">
        <f t="shared" si="33"/>
        <v>0</v>
      </c>
    </row>
    <row r="93" spans="1:34" hidden="1" x14ac:dyDescent="0.25">
      <c r="A93">
        <f t="shared" si="22"/>
        <v>88</v>
      </c>
      <c r="D93">
        <f t="shared" si="23"/>
        <v>0</v>
      </c>
      <c r="J93">
        <v>7833.4130329874843</v>
      </c>
      <c r="K93">
        <v>206.84271879505087</v>
      </c>
      <c r="L93">
        <v>0.3</v>
      </c>
      <c r="M93" s="3">
        <f t="shared" si="26"/>
        <v>0</v>
      </c>
      <c r="N93" s="5">
        <f t="shared" si="27"/>
        <v>0</v>
      </c>
      <c r="O93" s="6">
        <f t="shared" si="24"/>
        <v>0</v>
      </c>
      <c r="P93" s="6">
        <f t="shared" si="25"/>
        <v>0</v>
      </c>
      <c r="AC93" s="19">
        <f t="shared" si="28"/>
        <v>0</v>
      </c>
      <c r="AD93">
        <f t="shared" si="29"/>
        <v>0</v>
      </c>
      <c r="AE93">
        <f t="shared" si="30"/>
        <v>0</v>
      </c>
      <c r="AF93">
        <f t="shared" si="31"/>
        <v>0</v>
      </c>
      <c r="AG93">
        <f t="shared" si="32"/>
        <v>0</v>
      </c>
      <c r="AH93">
        <f t="shared" si="33"/>
        <v>0</v>
      </c>
    </row>
    <row r="94" spans="1:34" hidden="1" x14ac:dyDescent="0.25">
      <c r="A94">
        <f t="shared" si="22"/>
        <v>89</v>
      </c>
      <c r="D94">
        <f t="shared" si="23"/>
        <v>0</v>
      </c>
      <c r="J94">
        <v>7833.4130329874843</v>
      </c>
      <c r="K94">
        <v>206.84271879505087</v>
      </c>
      <c r="L94">
        <v>0.3</v>
      </c>
      <c r="M94" s="3">
        <f t="shared" si="26"/>
        <v>0</v>
      </c>
      <c r="N94" s="5">
        <f t="shared" si="27"/>
        <v>0</v>
      </c>
      <c r="O94" s="6">
        <f t="shared" si="24"/>
        <v>0</v>
      </c>
      <c r="P94" s="6">
        <f t="shared" si="25"/>
        <v>0</v>
      </c>
      <c r="AC94" s="19">
        <f t="shared" si="28"/>
        <v>0</v>
      </c>
      <c r="AD94">
        <f t="shared" si="29"/>
        <v>0</v>
      </c>
      <c r="AE94">
        <f t="shared" si="30"/>
        <v>0</v>
      </c>
      <c r="AF94">
        <f t="shared" si="31"/>
        <v>0</v>
      </c>
      <c r="AG94">
        <f t="shared" si="32"/>
        <v>0</v>
      </c>
      <c r="AH94">
        <f t="shared" si="33"/>
        <v>0</v>
      </c>
    </row>
    <row r="95" spans="1:34" hidden="1" x14ac:dyDescent="0.25">
      <c r="A95">
        <f t="shared" si="22"/>
        <v>90</v>
      </c>
      <c r="D95">
        <f t="shared" si="23"/>
        <v>0</v>
      </c>
      <c r="J95">
        <v>7833.4130329874843</v>
      </c>
      <c r="K95">
        <v>206.84271879505087</v>
      </c>
      <c r="L95">
        <v>0.3</v>
      </c>
      <c r="M95" s="3">
        <f t="shared" si="26"/>
        <v>0</v>
      </c>
      <c r="N95" s="5">
        <f t="shared" si="27"/>
        <v>0</v>
      </c>
      <c r="O95" s="6">
        <f t="shared" si="24"/>
        <v>0</v>
      </c>
      <c r="P95" s="6">
        <f t="shared" si="25"/>
        <v>0</v>
      </c>
      <c r="AC95" s="19">
        <f t="shared" si="28"/>
        <v>0</v>
      </c>
      <c r="AD95">
        <f t="shared" si="29"/>
        <v>0</v>
      </c>
      <c r="AE95">
        <f t="shared" si="30"/>
        <v>0</v>
      </c>
      <c r="AF95">
        <f t="shared" si="31"/>
        <v>0</v>
      </c>
      <c r="AG95">
        <f t="shared" si="32"/>
        <v>0</v>
      </c>
      <c r="AH95">
        <f t="shared" si="33"/>
        <v>0</v>
      </c>
    </row>
    <row r="96" spans="1:34" hidden="1" x14ac:dyDescent="0.25">
      <c r="A96">
        <f t="shared" si="22"/>
        <v>91</v>
      </c>
      <c r="D96">
        <f t="shared" si="23"/>
        <v>0</v>
      </c>
      <c r="J96">
        <v>7833.4130329874843</v>
      </c>
      <c r="K96">
        <v>206.84271879505087</v>
      </c>
      <c r="L96">
        <v>0.3</v>
      </c>
      <c r="M96" s="3">
        <f t="shared" si="26"/>
        <v>0</v>
      </c>
      <c r="N96" s="5">
        <f t="shared" si="27"/>
        <v>0</v>
      </c>
      <c r="O96" s="6">
        <f t="shared" si="24"/>
        <v>0</v>
      </c>
      <c r="P96" s="6">
        <f t="shared" si="25"/>
        <v>0</v>
      </c>
      <c r="AC96" s="19">
        <f t="shared" si="28"/>
        <v>0</v>
      </c>
      <c r="AD96">
        <f t="shared" si="29"/>
        <v>0</v>
      </c>
      <c r="AE96">
        <f t="shared" si="30"/>
        <v>0</v>
      </c>
      <c r="AF96">
        <f t="shared" si="31"/>
        <v>0</v>
      </c>
      <c r="AG96">
        <f t="shared" si="32"/>
        <v>0</v>
      </c>
      <c r="AH96">
        <f t="shared" si="33"/>
        <v>0</v>
      </c>
    </row>
    <row r="97" spans="1:34" hidden="1" x14ac:dyDescent="0.25">
      <c r="A97">
        <f t="shared" si="22"/>
        <v>92</v>
      </c>
      <c r="D97">
        <f t="shared" si="23"/>
        <v>0</v>
      </c>
      <c r="J97">
        <v>7833.4130329874843</v>
      </c>
      <c r="K97">
        <v>206.84271879505087</v>
      </c>
      <c r="L97">
        <v>0.3</v>
      </c>
      <c r="M97" s="3">
        <f t="shared" si="26"/>
        <v>0</v>
      </c>
      <c r="N97" s="5">
        <f t="shared" si="27"/>
        <v>0</v>
      </c>
      <c r="O97" s="6">
        <f t="shared" si="24"/>
        <v>0</v>
      </c>
      <c r="P97" s="6">
        <f t="shared" si="25"/>
        <v>0</v>
      </c>
      <c r="AC97" s="19">
        <f t="shared" si="28"/>
        <v>0</v>
      </c>
      <c r="AD97">
        <f t="shared" si="29"/>
        <v>0</v>
      </c>
      <c r="AE97">
        <f t="shared" si="30"/>
        <v>0</v>
      </c>
      <c r="AF97">
        <f t="shared" si="31"/>
        <v>0</v>
      </c>
      <c r="AG97">
        <f t="shared" si="32"/>
        <v>0</v>
      </c>
      <c r="AH97">
        <f t="shared" si="33"/>
        <v>0</v>
      </c>
    </row>
    <row r="98" spans="1:34" hidden="1" x14ac:dyDescent="0.25">
      <c r="A98">
        <f t="shared" si="22"/>
        <v>93</v>
      </c>
      <c r="D98">
        <f t="shared" si="23"/>
        <v>0</v>
      </c>
      <c r="J98">
        <v>7833.4130329874843</v>
      </c>
      <c r="K98">
        <v>206.84271879505087</v>
      </c>
      <c r="L98">
        <v>0.3</v>
      </c>
      <c r="M98" s="3">
        <f t="shared" si="26"/>
        <v>0</v>
      </c>
      <c r="N98" s="5">
        <f t="shared" si="27"/>
        <v>0</v>
      </c>
      <c r="O98" s="6">
        <f t="shared" si="24"/>
        <v>0</v>
      </c>
      <c r="P98" s="6">
        <f t="shared" si="25"/>
        <v>0</v>
      </c>
      <c r="AC98" s="19">
        <f t="shared" si="28"/>
        <v>0</v>
      </c>
      <c r="AD98">
        <f t="shared" si="29"/>
        <v>0</v>
      </c>
      <c r="AE98">
        <f t="shared" si="30"/>
        <v>0</v>
      </c>
      <c r="AF98">
        <f t="shared" si="31"/>
        <v>0</v>
      </c>
      <c r="AG98">
        <f t="shared" si="32"/>
        <v>0</v>
      </c>
      <c r="AH98">
        <f t="shared" si="33"/>
        <v>0</v>
      </c>
    </row>
    <row r="99" spans="1:34" hidden="1" x14ac:dyDescent="0.25">
      <c r="A99">
        <f t="shared" si="22"/>
        <v>94</v>
      </c>
      <c r="D99">
        <f t="shared" si="23"/>
        <v>0</v>
      </c>
      <c r="J99">
        <v>7833.4130329874843</v>
      </c>
      <c r="K99">
        <v>206.84271879505087</v>
      </c>
      <c r="L99">
        <v>0.3</v>
      </c>
      <c r="M99" s="3">
        <f t="shared" si="26"/>
        <v>0</v>
      </c>
      <c r="N99" s="5">
        <f t="shared" si="27"/>
        <v>0</v>
      </c>
      <c r="O99" s="6">
        <f t="shared" si="24"/>
        <v>0</v>
      </c>
      <c r="P99" s="6">
        <f t="shared" si="25"/>
        <v>0</v>
      </c>
      <c r="AC99" s="19">
        <f t="shared" si="28"/>
        <v>0</v>
      </c>
      <c r="AD99">
        <f t="shared" si="29"/>
        <v>0</v>
      </c>
      <c r="AE99">
        <f t="shared" si="30"/>
        <v>0</v>
      </c>
      <c r="AF99">
        <f t="shared" si="31"/>
        <v>0</v>
      </c>
      <c r="AG99">
        <f t="shared" si="32"/>
        <v>0</v>
      </c>
      <c r="AH99">
        <f t="shared" si="33"/>
        <v>0</v>
      </c>
    </row>
    <row r="100" spans="1:34" hidden="1" x14ac:dyDescent="0.25">
      <c r="A100">
        <f t="shared" si="22"/>
        <v>95</v>
      </c>
      <c r="D100">
        <f t="shared" si="23"/>
        <v>0</v>
      </c>
      <c r="J100">
        <v>7833.4130329874843</v>
      </c>
      <c r="K100">
        <v>206.84271879505087</v>
      </c>
      <c r="L100">
        <v>0.3</v>
      </c>
      <c r="M100" s="3">
        <f t="shared" si="26"/>
        <v>0</v>
      </c>
      <c r="N100" s="5">
        <f t="shared" si="27"/>
        <v>0</v>
      </c>
      <c r="O100" s="6">
        <f t="shared" si="24"/>
        <v>0</v>
      </c>
      <c r="P100" s="6">
        <f t="shared" si="25"/>
        <v>0</v>
      </c>
      <c r="AC100" s="19">
        <f t="shared" si="28"/>
        <v>0</v>
      </c>
      <c r="AD100">
        <f t="shared" si="29"/>
        <v>0</v>
      </c>
      <c r="AE100">
        <f t="shared" si="30"/>
        <v>0</v>
      </c>
      <c r="AF100">
        <f t="shared" si="31"/>
        <v>0</v>
      </c>
      <c r="AG100">
        <f t="shared" si="32"/>
        <v>0</v>
      </c>
      <c r="AH100">
        <f t="shared" si="33"/>
        <v>0</v>
      </c>
    </row>
    <row r="102" spans="1:34" x14ac:dyDescent="0.25">
      <c r="B102" s="8" t="s">
        <v>108</v>
      </c>
      <c r="C102">
        <f>SUM(C6:C100)</f>
        <v>0</v>
      </c>
      <c r="M102" s="3">
        <f>SUM(M6:M80)</f>
        <v>0</v>
      </c>
      <c r="N102" s="5">
        <f>SUM(N6:N80)</f>
        <v>0</v>
      </c>
      <c r="O102" s="103">
        <f>SUM(O6:O100)</f>
        <v>0</v>
      </c>
      <c r="P102" s="103">
        <f>SUM(P6:P100)</f>
        <v>0</v>
      </c>
      <c r="Q102" s="36">
        <f>SUM(Q6:Q80)</f>
        <v>0</v>
      </c>
      <c r="R102">
        <f>SUM(R7:R80)</f>
        <v>0</v>
      </c>
      <c r="AD102" t="s">
        <v>196</v>
      </c>
      <c r="AE102">
        <f>SUM(AE6:AE100)</f>
        <v>0</v>
      </c>
      <c r="AF102">
        <f>SUM(AF6:AF100)</f>
        <v>0</v>
      </c>
      <c r="AG102">
        <f>SUM(AG6:AG100)</f>
        <v>0</v>
      </c>
      <c r="AH102">
        <f>SUM(AH6:AH100)</f>
        <v>0</v>
      </c>
    </row>
    <row r="103" spans="1:34" x14ac:dyDescent="0.25">
      <c r="B103" t="s">
        <v>44</v>
      </c>
      <c r="C103">
        <f>SUM(C8:C46)</f>
        <v>0</v>
      </c>
      <c r="N103" s="5">
        <f>N102+Q102</f>
        <v>0</v>
      </c>
      <c r="O103" s="103">
        <f>O102+R102</f>
        <v>0</v>
      </c>
      <c r="P103" s="103"/>
      <c r="AD103" t="s">
        <v>197</v>
      </c>
      <c r="AE103">
        <f>IF(F112&lt;&gt;0,AE102/F112,0)</f>
        <v>0</v>
      </c>
    </row>
    <row r="104" spans="1:34" x14ac:dyDescent="0.25">
      <c r="G104" t="s">
        <v>239</v>
      </c>
    </row>
    <row r="105" spans="1:34" x14ac:dyDescent="0.25">
      <c r="A105" t="s">
        <v>129</v>
      </c>
      <c r="F105" s="5">
        <f>SUM(C6:C7)</f>
        <v>0</v>
      </c>
    </row>
    <row r="106" spans="1:34" x14ac:dyDescent="0.25">
      <c r="A106" t="s">
        <v>130</v>
      </c>
      <c r="F106" s="5">
        <f>C103</f>
        <v>0</v>
      </c>
      <c r="G106">
        <v>2400</v>
      </c>
      <c r="H106" t="s">
        <v>246</v>
      </c>
    </row>
    <row r="107" spans="1:34" x14ac:dyDescent="0.25">
      <c r="A107" t="s">
        <v>131</v>
      </c>
      <c r="F107" s="5">
        <f>SUM(C47:C52)</f>
        <v>0</v>
      </c>
    </row>
    <row r="108" spans="1:34" x14ac:dyDescent="0.25">
      <c r="F108" s="5"/>
    </row>
    <row r="109" spans="1:34" x14ac:dyDescent="0.25">
      <c r="F109" s="5">
        <f>SUM(F105:F107)</f>
        <v>0</v>
      </c>
    </row>
    <row r="110" spans="1:34" x14ac:dyDescent="0.25">
      <c r="A110" s="50" t="s">
        <v>127</v>
      </c>
      <c r="F110" s="5">
        <f>C102</f>
        <v>0</v>
      </c>
      <c r="G110">
        <v>2600</v>
      </c>
      <c r="H110" s="102">
        <f>(F110-G110)/G110</f>
        <v>-1</v>
      </c>
    </row>
    <row r="112" spans="1:34" x14ac:dyDescent="0.25">
      <c r="A112" s="8" t="s">
        <v>128</v>
      </c>
      <c r="F112" s="5">
        <f>N103</f>
        <v>0</v>
      </c>
      <c r="G112">
        <v>740</v>
      </c>
      <c r="H112" s="102">
        <f>(F112-G112)/G112</f>
        <v>-1</v>
      </c>
      <c r="I112" s="5">
        <f>G112-F112</f>
        <v>740</v>
      </c>
    </row>
    <row r="113" spans="1:7" x14ac:dyDescent="0.25">
      <c r="A113" s="8" t="s">
        <v>198</v>
      </c>
      <c r="F113">
        <f>AE103</f>
        <v>0</v>
      </c>
    </row>
    <row r="114" spans="1:7" x14ac:dyDescent="0.25">
      <c r="G114" s="8"/>
    </row>
    <row r="115" spans="1:7" x14ac:dyDescent="0.25">
      <c r="A115" s="8" t="s">
        <v>109</v>
      </c>
    </row>
    <row r="116" spans="1:7" x14ac:dyDescent="0.25">
      <c r="A116" s="8" t="s">
        <v>110</v>
      </c>
    </row>
    <row r="135" spans="8:8" x14ac:dyDescent="0.25">
      <c r="H135" s="106"/>
    </row>
    <row r="149" spans="1:14" x14ac:dyDescent="0.25">
      <c r="A149" s="12"/>
      <c r="B149" s="25"/>
      <c r="C149" s="25"/>
      <c r="D149" s="25"/>
      <c r="E149" s="96"/>
      <c r="F149" s="25"/>
      <c r="G149" s="96"/>
      <c r="H149" s="25"/>
      <c r="I149" s="98"/>
      <c r="J149" s="64"/>
      <c r="L149" s="64"/>
      <c r="M149" s="64"/>
      <c r="N149" s="64"/>
    </row>
    <row r="150" spans="1:14" x14ac:dyDescent="0.25">
      <c r="B150" s="6"/>
      <c r="C150" s="6"/>
      <c r="D150" s="6"/>
      <c r="E150" s="6"/>
      <c r="F150" s="99"/>
      <c r="G150" s="39"/>
      <c r="H150" s="100"/>
      <c r="I150" s="101"/>
      <c r="J150" s="39"/>
      <c r="M150" s="104"/>
      <c r="N150" s="104"/>
    </row>
    <row r="151" spans="1:14" x14ac:dyDescent="0.25">
      <c r="B151" s="6"/>
      <c r="C151" s="6"/>
      <c r="D151" s="6"/>
      <c r="E151" s="6"/>
      <c r="F151" s="99"/>
      <c r="G151" s="39"/>
      <c r="H151" s="100"/>
      <c r="I151" s="101"/>
      <c r="J151" s="39"/>
      <c r="M151" s="104"/>
      <c r="N151" s="104"/>
    </row>
    <row r="152" spans="1:14" x14ac:dyDescent="0.25">
      <c r="B152" s="6"/>
      <c r="C152" s="6"/>
      <c r="D152" s="6"/>
      <c r="E152" s="6"/>
      <c r="F152" s="99"/>
      <c r="G152" s="39"/>
      <c r="H152" s="100"/>
      <c r="I152" s="101"/>
      <c r="J152" s="39"/>
      <c r="M152" s="104"/>
      <c r="N152" s="104"/>
    </row>
    <row r="153" spans="1:14" x14ac:dyDescent="0.25">
      <c r="B153" s="6"/>
      <c r="C153" s="6"/>
      <c r="D153" s="6"/>
      <c r="E153" s="6"/>
      <c r="F153" s="99"/>
      <c r="G153" s="39"/>
      <c r="H153" s="100"/>
      <c r="I153" s="101"/>
      <c r="J153" s="39"/>
      <c r="M153" s="104"/>
      <c r="N153" s="104"/>
    </row>
    <row r="154" spans="1:14" x14ac:dyDescent="0.25">
      <c r="B154" s="6"/>
      <c r="C154" s="6"/>
      <c r="D154" s="6"/>
      <c r="E154" s="6"/>
      <c r="F154" s="99"/>
      <c r="G154" s="39"/>
      <c r="H154" s="100"/>
      <c r="I154" s="101"/>
      <c r="J154" s="39"/>
      <c r="M154" s="104"/>
      <c r="N154" s="104"/>
    </row>
    <row r="155" spans="1:14" x14ac:dyDescent="0.25">
      <c r="B155" s="6"/>
      <c r="C155" s="6"/>
      <c r="D155" s="6"/>
      <c r="E155" s="6"/>
      <c r="F155" s="99"/>
      <c r="G155" s="39"/>
      <c r="H155" s="100"/>
      <c r="I155" s="101"/>
      <c r="J155" s="39"/>
      <c r="M155" s="104"/>
      <c r="N155" s="104"/>
    </row>
    <row r="156" spans="1:14" x14ac:dyDescent="0.25">
      <c r="J156" s="39"/>
    </row>
    <row r="157" spans="1:14" x14ac:dyDescent="0.25">
      <c r="J157" s="5"/>
    </row>
    <row r="158" spans="1:14" x14ac:dyDescent="0.25">
      <c r="A158" s="12"/>
      <c r="B158" s="25"/>
      <c r="C158" s="25"/>
      <c r="F158" s="107"/>
      <c r="H158" s="25"/>
      <c r="I158" s="98"/>
    </row>
    <row r="159" spans="1:14" x14ac:dyDescent="0.25">
      <c r="B159" s="6"/>
      <c r="C159" s="6"/>
      <c r="G159" s="105"/>
      <c r="H159" s="100"/>
      <c r="I159" s="100"/>
    </row>
    <row r="160" spans="1:14" x14ac:dyDescent="0.25">
      <c r="B160" s="6"/>
      <c r="C160" s="6"/>
      <c r="G160" s="105"/>
      <c r="H160" s="100"/>
      <c r="I160" s="100"/>
    </row>
    <row r="161" spans="2:9" x14ac:dyDescent="0.25">
      <c r="B161" s="6"/>
      <c r="C161" s="6"/>
      <c r="G161" s="105"/>
      <c r="H161" s="100"/>
      <c r="I161" s="100"/>
    </row>
    <row r="162" spans="2:9" x14ac:dyDescent="0.25">
      <c r="B162" s="6"/>
      <c r="C162" s="6"/>
      <c r="G162" s="105"/>
      <c r="H162" s="100"/>
      <c r="I162" s="100"/>
    </row>
    <row r="163" spans="2:9" x14ac:dyDescent="0.25">
      <c r="B163" s="6"/>
      <c r="C163" s="6"/>
      <c r="G163" s="105"/>
      <c r="H163" s="100"/>
      <c r="I163" s="100"/>
    </row>
    <row r="164" spans="2:9" x14ac:dyDescent="0.25">
      <c r="B164" s="6"/>
      <c r="C164" s="6"/>
      <c r="G164" s="105"/>
      <c r="H164" s="100"/>
      <c r="I164" s="100"/>
    </row>
    <row r="165" spans="2:9" x14ac:dyDescent="0.25">
      <c r="B165" s="6"/>
      <c r="C165" s="6"/>
      <c r="G165" s="105"/>
      <c r="H165" s="100"/>
      <c r="I165" s="100"/>
    </row>
  </sheetData>
  <mergeCells count="1">
    <mergeCell ref="Y3:AB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117"/>
  <sheetViews>
    <sheetView workbookViewId="0">
      <pane xSplit="1" ySplit="5" topLeftCell="B8" activePane="bottomRight" state="frozen"/>
      <selection pane="topRight" activeCell="B1" sqref="B1"/>
      <selection pane="bottomLeft" activeCell="A6" sqref="A6"/>
      <selection pane="bottomRight" activeCell="D8" sqref="D8"/>
    </sheetView>
  </sheetViews>
  <sheetFormatPr defaultRowHeight="13.2" x14ac:dyDescent="0.25"/>
  <cols>
    <col min="1" max="1" width="9.5546875" customWidth="1"/>
    <col min="2" max="2" width="22.44140625" customWidth="1"/>
    <col min="4" max="4" width="11.33203125" customWidth="1"/>
    <col min="5" max="5" width="11.88671875" customWidth="1"/>
    <col min="6" max="6" width="12.44140625" bestFit="1" customWidth="1"/>
    <col min="7" max="7" width="6.44140625" customWidth="1"/>
    <col min="8" max="8" width="7" customWidth="1"/>
    <col min="9" max="10" width="15.33203125" customWidth="1"/>
    <col min="11" max="11" width="12.44140625" customWidth="1"/>
    <col min="12" max="12" width="12.88671875" customWidth="1"/>
    <col min="13" max="13" width="10.109375" customWidth="1"/>
    <col min="14" max="14" width="10" customWidth="1"/>
    <col min="15" max="15" width="13.6640625" customWidth="1"/>
    <col min="16" max="16" width="10.44140625" customWidth="1"/>
    <col min="17" max="17" width="9.44140625" customWidth="1"/>
    <col min="18" max="18" width="12.6640625" customWidth="1"/>
    <col min="19" max="19" width="13.44140625" customWidth="1"/>
    <col min="20" max="20" width="13.6640625" customWidth="1"/>
    <col min="21" max="21" width="12.44140625" customWidth="1"/>
    <col min="22" max="22" width="7.5546875" customWidth="1"/>
    <col min="23" max="23" width="10.33203125" customWidth="1"/>
    <col min="24" max="28" width="7.5546875" customWidth="1"/>
    <col min="29" max="29" width="14.33203125" bestFit="1" customWidth="1"/>
    <col min="32" max="32" width="13.33203125" customWidth="1"/>
    <col min="33" max="33" width="9.44140625" customWidth="1"/>
    <col min="35" max="35" width="14.44140625" customWidth="1"/>
    <col min="36" max="36" width="13.109375" customWidth="1"/>
    <col min="39" max="39" width="12.88671875" customWidth="1"/>
  </cols>
  <sheetData>
    <row r="1" spans="1:39" x14ac:dyDescent="0.25">
      <c r="A1" s="8"/>
    </row>
    <row r="2" spans="1:39" x14ac:dyDescent="0.25">
      <c r="A2" s="8"/>
      <c r="C2">
        <f>SUM(C6:C13)</f>
        <v>7.7309999999999999</v>
      </c>
      <c r="AC2" s="93" t="s">
        <v>200</v>
      </c>
    </row>
    <row r="3" spans="1:39" x14ac:dyDescent="0.25">
      <c r="C3">
        <f>SUM(C6:C50)</f>
        <v>42.07800000000001</v>
      </c>
      <c r="W3" s="8" t="s">
        <v>213</v>
      </c>
      <c r="X3" s="8" t="s">
        <v>213</v>
      </c>
      <c r="Y3" s="123" t="s">
        <v>228</v>
      </c>
      <c r="Z3" s="123"/>
      <c r="AA3" s="123"/>
      <c r="AB3" s="64"/>
      <c r="AC3">
        <v>0</v>
      </c>
    </row>
    <row r="4" spans="1:39" x14ac:dyDescent="0.25">
      <c r="A4" s="46" t="s">
        <v>96</v>
      </c>
      <c r="B4" s="46" t="s">
        <v>95</v>
      </c>
      <c r="C4" s="46" t="s">
        <v>89</v>
      </c>
      <c r="D4" s="46" t="s">
        <v>47</v>
      </c>
      <c r="E4" s="46" t="s">
        <v>46</v>
      </c>
      <c r="F4" s="46" t="s">
        <v>148</v>
      </c>
      <c r="G4" s="46" t="s">
        <v>48</v>
      </c>
      <c r="H4" s="46" t="s">
        <v>3</v>
      </c>
      <c r="I4" s="46" t="s">
        <v>124</v>
      </c>
      <c r="J4" s="92" t="s">
        <v>223</v>
      </c>
      <c r="K4" s="46" t="s">
        <v>97</v>
      </c>
      <c r="L4" s="46" t="s">
        <v>97</v>
      </c>
      <c r="M4" s="92" t="s">
        <v>206</v>
      </c>
      <c r="N4" s="92" t="s">
        <v>207</v>
      </c>
      <c r="O4" s="46" t="s">
        <v>101</v>
      </c>
      <c r="P4" s="46" t="s">
        <v>51</v>
      </c>
      <c r="Q4" s="46" t="s">
        <v>90</v>
      </c>
      <c r="R4" s="94" t="s">
        <v>135</v>
      </c>
      <c r="S4" s="94" t="s">
        <v>136</v>
      </c>
      <c r="T4" s="94" t="s">
        <v>137</v>
      </c>
      <c r="U4" s="94" t="s">
        <v>104</v>
      </c>
      <c r="V4" s="94" t="s">
        <v>105</v>
      </c>
      <c r="W4" s="95" t="s">
        <v>214</v>
      </c>
      <c r="X4" s="94" t="s">
        <v>217</v>
      </c>
      <c r="Y4" s="94" t="s">
        <v>229</v>
      </c>
      <c r="Z4" s="94" t="s">
        <v>230</v>
      </c>
      <c r="AA4" s="94" t="s">
        <v>231</v>
      </c>
      <c r="AB4" s="94" t="s">
        <v>235</v>
      </c>
      <c r="AC4" s="46" t="s">
        <v>94</v>
      </c>
      <c r="AD4" s="92" t="s">
        <v>191</v>
      </c>
      <c r="AE4" s="93" t="s">
        <v>193</v>
      </c>
      <c r="AF4" s="92" t="s">
        <v>210</v>
      </c>
      <c r="AG4" s="92" t="s">
        <v>211</v>
      </c>
      <c r="AH4" s="92" t="s">
        <v>212</v>
      </c>
      <c r="AI4" s="59"/>
      <c r="AM4" s="8"/>
    </row>
    <row r="5" spans="1:39" x14ac:dyDescent="0.25">
      <c r="A5" s="8"/>
      <c r="B5" s="64" t="s">
        <v>219</v>
      </c>
      <c r="C5" s="46" t="s">
        <v>4</v>
      </c>
      <c r="D5" s="46" t="s">
        <v>4</v>
      </c>
      <c r="E5" s="46" t="s">
        <v>4</v>
      </c>
      <c r="F5" s="46" t="s">
        <v>4</v>
      </c>
      <c r="G5" s="46" t="s">
        <v>4</v>
      </c>
      <c r="H5" s="46" t="s">
        <v>98</v>
      </c>
      <c r="I5" s="46" t="s">
        <v>5</v>
      </c>
      <c r="J5" s="92" t="s">
        <v>224</v>
      </c>
      <c r="K5" s="46" t="s">
        <v>99</v>
      </c>
      <c r="L5" s="46" t="s">
        <v>99</v>
      </c>
      <c r="M5" s="92" t="s">
        <v>208</v>
      </c>
      <c r="N5" s="92" t="s">
        <v>209</v>
      </c>
      <c r="O5" s="46" t="s">
        <v>6</v>
      </c>
      <c r="P5" s="1" t="s">
        <v>218</v>
      </c>
      <c r="Q5" s="1" t="s">
        <v>218</v>
      </c>
      <c r="R5" s="46" t="s">
        <v>100</v>
      </c>
      <c r="S5" s="46" t="s">
        <v>100</v>
      </c>
      <c r="T5" s="46" t="s">
        <v>100</v>
      </c>
      <c r="U5" s="92" t="s">
        <v>99</v>
      </c>
      <c r="V5" s="92" t="s">
        <v>215</v>
      </c>
      <c r="W5" s="92" t="s">
        <v>4</v>
      </c>
      <c r="X5" s="92" t="s">
        <v>215</v>
      </c>
      <c r="Y5" s="92" t="s">
        <v>232</v>
      </c>
      <c r="Z5" s="92" t="s">
        <v>233</v>
      </c>
      <c r="AA5" s="92" t="s">
        <v>215</v>
      </c>
      <c r="AB5" s="92" t="s">
        <v>215</v>
      </c>
      <c r="AC5" s="46" t="s">
        <v>4</v>
      </c>
      <c r="AD5" s="92" t="s">
        <v>192</v>
      </c>
      <c r="AE5" s="64" t="s">
        <v>201</v>
      </c>
      <c r="AF5" s="92" t="s">
        <v>208</v>
      </c>
      <c r="AG5" s="92" t="s">
        <v>209</v>
      </c>
      <c r="AH5" s="92" t="s">
        <v>209</v>
      </c>
      <c r="AM5" s="8"/>
    </row>
    <row r="6" spans="1:39" x14ac:dyDescent="0.25">
      <c r="A6">
        <v>1</v>
      </c>
      <c r="C6">
        <f>1.068/2</f>
        <v>0.53400000000000003</v>
      </c>
      <c r="D6">
        <v>2.145</v>
      </c>
      <c r="E6">
        <v>2.145</v>
      </c>
      <c r="F6">
        <f>'Rotor model (SI)'!H6/25.4</f>
        <v>0</v>
      </c>
      <c r="G6">
        <f>'Rotor model (SI)'!I6/25.4</f>
        <v>0</v>
      </c>
      <c r="H6">
        <f>'Rotor model (SI)'!J6*CONVERT(1,"kg","lbm")/CONVERT(1,"m","in")^3</f>
        <v>0.28299999999999997</v>
      </c>
      <c r="I6">
        <f>'Rotor model (SI)'!K6*1000000000*CONVERT(1,"N","lbf")/CONVERT(1,"m","in")^2</f>
        <v>30000000</v>
      </c>
      <c r="J6">
        <f>'Rotor model (SI)'!L6</f>
        <v>0.3</v>
      </c>
      <c r="K6" s="7">
        <f>(((PI()*(IF(E6&gt;0,E6,D6)^2))/4)-((PI()*(IF(G6=0,F6,G6)^2))/4))*C6*H6</f>
        <v>0.54609998795994641</v>
      </c>
      <c r="L6" s="6">
        <f>K6</f>
        <v>0.54609998795994641</v>
      </c>
      <c r="M6" s="6">
        <f>K6/2*(IF(E6&gt;0,E6/2,D6/2)^2+IF(G6=0,F6/2,G6/2)^2)</f>
        <v>0.31407746213792653</v>
      </c>
      <c r="N6" s="6">
        <f>K6/48*(3*IF(E6&gt;0,E6,D6)^2+3*IF(G6=0,F6,G6)^2+4*C6^2)</f>
        <v>0.17001570508285549</v>
      </c>
      <c r="O6" s="106">
        <f>'Rotor model (SI)'!Q6*CONVERT(1,"kg","lbm")</f>
        <v>0</v>
      </c>
      <c r="P6" s="106">
        <f>'Rotor model (SI)'!R6*CONVERT(1,"kg","lbm")*CONVERT(1,"m","in")^2</f>
        <v>0</v>
      </c>
      <c r="Q6" s="106">
        <f>'Rotor model (SI)'!S6*CONVERT(1,"kg","lbm")*CONVERT(1,"m","in")^2</f>
        <v>0</v>
      </c>
      <c r="U6">
        <f>'Rotor model (SI)'!U6*CONVERT(1,"N","lbf")</f>
        <v>0</v>
      </c>
      <c r="V6">
        <f>'Rotor model (SI)'!V6</f>
        <v>0</v>
      </c>
      <c r="W6">
        <f>'Rotor model (SI)'!W6/25.4</f>
        <v>0</v>
      </c>
      <c r="X6">
        <f>'Rotor model (SI)'!X6</f>
        <v>0</v>
      </c>
      <c r="Y6">
        <f>'Rotor model (SI)'!Y6/25.4</f>
        <v>0</v>
      </c>
      <c r="Z6">
        <f>'Rotor model (SI)'!Z6</f>
        <v>0</v>
      </c>
      <c r="AA6">
        <f>'Rotor model (SI)'!AA6</f>
        <v>0</v>
      </c>
      <c r="AB6">
        <f>'Rotor model (SI)'!AB6</f>
        <v>0</v>
      </c>
      <c r="AC6" s="19">
        <v>0</v>
      </c>
      <c r="AD6" s="39">
        <f>L6/2+O6</f>
        <v>0.2730499939799732</v>
      </c>
      <c r="AE6">
        <f>(AC6-$AC$3)*AD6</f>
        <v>0</v>
      </c>
      <c r="AF6">
        <f>M6/2+P6</f>
        <v>0.15703873106896327</v>
      </c>
      <c r="AG6">
        <f>Q6+N6/2+L6/2*(C6/2)^2</f>
        <v>0.10447331356226605</v>
      </c>
      <c r="AH6">
        <f>Q6+O6*(AC6-$AE$103)^2+N6+L6*(AC6-$AE$103+C6/2)^2</f>
        <v>214.46703338944641</v>
      </c>
      <c r="AM6" s="8"/>
    </row>
    <row r="7" spans="1:39" x14ac:dyDescent="0.25">
      <c r="A7">
        <v>2</v>
      </c>
      <c r="C7">
        <f>1.068/2+0.188</f>
        <v>0.72199999999999998</v>
      </c>
      <c r="D7">
        <f>D6</f>
        <v>2.145</v>
      </c>
      <c r="E7">
        <v>2.145</v>
      </c>
      <c r="F7">
        <f>'Rotor model (SI)'!H7/25.4</f>
        <v>0</v>
      </c>
      <c r="G7">
        <f>'Rotor model (SI)'!I7/25.4</f>
        <v>0</v>
      </c>
      <c r="H7">
        <f>'Rotor model (SI)'!J7*CONVERT(1,"kg","lbm")/CONVERT(1,"m","in")^3</f>
        <v>0.28299999999999997</v>
      </c>
      <c r="I7">
        <f>'Rotor model (SI)'!K7*1000000000*CONVERT(1,"N","lbf")/CONVERT(1,"m","in")^2</f>
        <v>30000000</v>
      </c>
      <c r="J7">
        <f>'Rotor model (SI)'!L7</f>
        <v>0.3</v>
      </c>
      <c r="K7" s="7">
        <f t="shared" ref="K7" si="0">(((PI()*(IF(E7&gt;0,E7,D7)^2))/4)-((PI()*(IF(G7=0,F7,G7)^2))/4))*C7*H7</f>
        <v>0.73835990881475877</v>
      </c>
      <c r="L7" s="6">
        <f t="shared" ref="L7" si="1">K7</f>
        <v>0.73835990881475877</v>
      </c>
      <c r="M7" s="6">
        <f t="shared" ref="M7" si="2">K7/2*(IF(E7&gt;0,E7/2,D7/2)^2+IF(G7=0,F7/2,G7/2)^2)</f>
        <v>0.42465154993180315</v>
      </c>
      <c r="N7" s="6">
        <f t="shared" ref="N7" si="3">K7/48*(3*IF(E7&gt;0,E7,D7)^2+3*IF(G7=0,F7,G7)^2+4*C7^2)</f>
        <v>0.2444003755247843</v>
      </c>
      <c r="O7" s="106">
        <f>'Rotor model (SI)'!Q7*CONVERT(1,"kg","lbm")</f>
        <v>0</v>
      </c>
      <c r="P7" s="106">
        <f>'Rotor model (SI)'!R7*CONVERT(1,"kg","lbm")*CONVERT(1,"m","in")^2</f>
        <v>0</v>
      </c>
      <c r="Q7" s="106">
        <f>'Rotor model (SI)'!S7*CONVERT(1,"kg","lbm")*CONVERT(1,"m","in")^2</f>
        <v>0</v>
      </c>
      <c r="U7">
        <f>'Rotor model (SI)'!U7*CONVERT(1,"N","lbf")</f>
        <v>0</v>
      </c>
      <c r="V7">
        <f>'Rotor model (SI)'!V7</f>
        <v>0</v>
      </c>
      <c r="W7">
        <f>'Rotor model (SI)'!W7/25.4</f>
        <v>0</v>
      </c>
      <c r="X7">
        <f>'Rotor model (SI)'!X7</f>
        <v>0</v>
      </c>
      <c r="Y7">
        <f>'Rotor model (SI)'!Y7/25.4</f>
        <v>0</v>
      </c>
      <c r="Z7">
        <f>'Rotor model (SI)'!Z7</f>
        <v>0</v>
      </c>
      <c r="AA7">
        <f>'Rotor model (SI)'!AA7</f>
        <v>0</v>
      </c>
      <c r="AB7">
        <f>'Rotor model (SI)'!AB7</f>
        <v>0</v>
      </c>
      <c r="AC7" s="19">
        <f>AC6+C6</f>
        <v>0.53400000000000003</v>
      </c>
      <c r="AD7" s="39">
        <f>L6/2+L7/2+O7</f>
        <v>0.64222994838735259</v>
      </c>
      <c r="AE7">
        <f t="shared" ref="AE7" si="4">(AC7-$AC$3)*AD7</f>
        <v>0.3429507924388463</v>
      </c>
      <c r="AF7">
        <f>M7/2+M6/2+P7</f>
        <v>0.36936450603486481</v>
      </c>
      <c r="AG7">
        <f>Q7+N7/2+L7/2*(C7/2)^2+N6/2+L6/2*(C6/2)^2</f>
        <v>0.27478540216298225</v>
      </c>
      <c r="AH7">
        <f t="shared" ref="AH7" si="5">Q7+O7*(AC7-$AE$103)^2+N7+L7*(AC7-$AE$103+C7/2)^2</f>
        <v>271.90713725875941</v>
      </c>
      <c r="AM7" s="8"/>
    </row>
    <row r="8" spans="1:39" x14ac:dyDescent="0.25">
      <c r="A8">
        <v>3</v>
      </c>
      <c r="B8" s="8"/>
      <c r="C8" s="6">
        <f>2.225/2</f>
        <v>1.1125</v>
      </c>
      <c r="D8" s="108">
        <v>2.2599999999999998</v>
      </c>
      <c r="E8" s="6">
        <f t="shared" ref="E8:E9" si="6">CONVERT(91.377,"mm","in")</f>
        <v>3.5975196850393703</v>
      </c>
      <c r="F8">
        <f>'Rotor model (SI)'!H8/25.4</f>
        <v>0</v>
      </c>
      <c r="G8">
        <f>'Rotor model (SI)'!I8/25.4</f>
        <v>0</v>
      </c>
      <c r="H8">
        <f>'Rotor model (SI)'!J8*CONVERT(1,"kg","lbm")/CONVERT(1,"m","in")^3</f>
        <v>0.28299999999999997</v>
      </c>
      <c r="I8">
        <f>'Rotor model (SI)'!K8*1000000000*CONVERT(1,"N","lbf")/CONVERT(1,"m","in")^2</f>
        <v>30000000</v>
      </c>
      <c r="J8">
        <f>'Rotor model (SI)'!L8</f>
        <v>0.3</v>
      </c>
      <c r="K8" s="7">
        <f t="shared" ref="K8:K71" si="7">(((PI()*(IF(E8&gt;0,E8,D8)^2))/4)-((PI()*(IF(G8=0,F8,G8)^2))/4))*C8*H8</f>
        <v>3.2002410711754719</v>
      </c>
      <c r="L8" s="6">
        <f t="shared" ref="L8:L71" si="8">K8</f>
        <v>3.2002410711754719</v>
      </c>
      <c r="M8" s="6">
        <f t="shared" ref="M8:M71" si="9">K8/2*(IF(E8&gt;0,E8/2,D8/2)^2+IF(G8=0,F8/2,G8/2)^2)</f>
        <v>5.1772491510487564</v>
      </c>
      <c r="N8" s="6">
        <f t="shared" ref="N8:N71" si="10">K8/48*(3*IF(E8&gt;0,E8,D8)^2+3*IF(G8=0,F8,G8)^2+4*C8^2)</f>
        <v>2.9186911057949629</v>
      </c>
      <c r="O8" s="36">
        <v>0.12</v>
      </c>
      <c r="P8" s="106">
        <f>'Rotor model (SI)'!R8*CONVERT(1,"kg","lbm")*CONVERT(1,"m","in")^2</f>
        <v>0</v>
      </c>
      <c r="Q8" s="106">
        <f>'Rotor model (SI)'!S8*CONVERT(1,"kg","lbm")*CONVERT(1,"m","in")^2</f>
        <v>0</v>
      </c>
      <c r="U8">
        <f>'Rotor model (SI)'!U8*CONVERT(1,"N","lbf")</f>
        <v>0</v>
      </c>
      <c r="V8">
        <f>'Rotor model (SI)'!V8</f>
        <v>0</v>
      </c>
      <c r="W8">
        <f>'Rotor model (SI)'!W8/25.4</f>
        <v>0</v>
      </c>
      <c r="X8">
        <f>'Rotor model (SI)'!X8</f>
        <v>0</v>
      </c>
      <c r="Y8">
        <f>'Rotor model (SI)'!Y8/25.4</f>
        <v>0</v>
      </c>
      <c r="Z8">
        <f>'Rotor model (SI)'!Z8</f>
        <v>0</v>
      </c>
      <c r="AA8">
        <f>'Rotor model (SI)'!AA8</f>
        <v>0</v>
      </c>
      <c r="AB8">
        <f>'Rotor model (SI)'!AB8</f>
        <v>0</v>
      </c>
      <c r="AC8" s="19">
        <f t="shared" ref="AC8:AC71" si="11">AC7+C7</f>
        <v>1.256</v>
      </c>
      <c r="AD8">
        <f t="shared" ref="AD8:AD71" si="12">L7/2+L8/2+O8</f>
        <v>2.0893004899951153</v>
      </c>
      <c r="AE8">
        <f t="shared" ref="AE8:AE71" si="13">(AC8-$AC$3)*AD8</f>
        <v>2.6241614154338651</v>
      </c>
      <c r="AF8">
        <f t="shared" ref="AF8:AF71" si="14">M8/2+M7/2+P8</f>
        <v>2.8009503504902797</v>
      </c>
      <c r="AG8">
        <f t="shared" ref="AG8:AG71" si="15">Q8+N8/2+L8/2*(C8/2)^2+N7/2+L7/2*(C7/2)^2</f>
        <v>2.1247574369040749</v>
      </c>
      <c r="AH8">
        <f t="shared" ref="AH8:AH71" si="16">Q8+O8*(AC8-$AE$103)^2+N8+L8*(AC8-$AE$103+C8/2)^2</f>
        <v>1112.9610099529614</v>
      </c>
      <c r="AM8" s="8"/>
    </row>
    <row r="9" spans="1:39" x14ac:dyDescent="0.25">
      <c r="A9">
        <v>4</v>
      </c>
      <c r="B9" s="8" t="s">
        <v>253</v>
      </c>
      <c r="C9" s="6">
        <f>2.225/2</f>
        <v>1.1125</v>
      </c>
      <c r="D9" s="108">
        <f>D8</f>
        <v>2.2599999999999998</v>
      </c>
      <c r="E9" s="6">
        <f t="shared" si="6"/>
        <v>3.5975196850393703</v>
      </c>
      <c r="F9">
        <f>'Rotor model (SI)'!H9/25.4</f>
        <v>0</v>
      </c>
      <c r="G9">
        <f>'Rotor model (SI)'!I9/25.4</f>
        <v>0</v>
      </c>
      <c r="H9">
        <f>'Rotor model (SI)'!J9*CONVERT(1,"kg","lbm")/CONVERT(1,"m","in")^3</f>
        <v>0.28299999999999997</v>
      </c>
      <c r="I9">
        <f>'Rotor model (SI)'!K9*1000000000*CONVERT(1,"N","lbf")/CONVERT(1,"m","in")^2</f>
        <v>30000000</v>
      </c>
      <c r="J9">
        <f>'Rotor model (SI)'!L9</f>
        <v>0.3</v>
      </c>
      <c r="K9" s="7">
        <f t="shared" si="7"/>
        <v>3.2002410711754719</v>
      </c>
      <c r="L9" s="6">
        <f t="shared" si="8"/>
        <v>3.2002410711754719</v>
      </c>
      <c r="M9" s="6">
        <f t="shared" si="9"/>
        <v>5.1772491510487564</v>
      </c>
      <c r="N9" s="6">
        <f t="shared" si="10"/>
        <v>2.9186911057949629</v>
      </c>
      <c r="O9" s="106">
        <f>'Rotor model (SI)'!Q9*CONVERT(1,"kg","lbm")</f>
        <v>0</v>
      </c>
      <c r="P9" s="106">
        <f>'Rotor model (SI)'!R9*CONVERT(1,"kg","lbm")*CONVERT(1,"m","in")^2</f>
        <v>0</v>
      </c>
      <c r="Q9" s="106">
        <f>'Rotor model (SI)'!S9*CONVERT(1,"kg","lbm")*CONVERT(1,"m","in")^2</f>
        <v>0</v>
      </c>
      <c r="U9">
        <f>'Rotor model (SI)'!U9*CONVERT(1,"N","lbf")</f>
        <v>0</v>
      </c>
      <c r="V9">
        <f>'Rotor model (SI)'!V9</f>
        <v>0</v>
      </c>
      <c r="W9">
        <f>'Rotor model (SI)'!W9/25.4</f>
        <v>0</v>
      </c>
      <c r="X9">
        <f>'Rotor model (SI)'!X9</f>
        <v>0</v>
      </c>
      <c r="Y9">
        <f>'Rotor model (SI)'!Y9/25.4</f>
        <v>0</v>
      </c>
      <c r="Z9">
        <f>'Rotor model (SI)'!Z9</f>
        <v>0</v>
      </c>
      <c r="AA9">
        <f>'Rotor model (SI)'!AA9</f>
        <v>0</v>
      </c>
      <c r="AB9">
        <f>'Rotor model (SI)'!AB9</f>
        <v>0</v>
      </c>
      <c r="AC9" s="19">
        <f>AC8+C8</f>
        <v>2.3685</v>
      </c>
      <c r="AD9">
        <f t="shared" si="12"/>
        <v>3.2002410711754719</v>
      </c>
      <c r="AE9">
        <f t="shared" si="13"/>
        <v>7.5797709770791055</v>
      </c>
      <c r="AF9">
        <f t="shared" si="14"/>
        <v>5.1772491510487564</v>
      </c>
      <c r="AG9">
        <f t="shared" si="15"/>
        <v>3.9088906966067176</v>
      </c>
      <c r="AH9">
        <f t="shared" si="16"/>
        <v>944.36601942858613</v>
      </c>
      <c r="AM9" s="8"/>
    </row>
    <row r="10" spans="1:39" x14ac:dyDescent="0.25">
      <c r="A10">
        <v>5</v>
      </c>
      <c r="C10">
        <v>0.625</v>
      </c>
      <c r="D10">
        <v>2.2599999999999998</v>
      </c>
      <c r="E10">
        <v>2.2599999999999998</v>
      </c>
      <c r="F10">
        <f>'Rotor model (SI)'!H10/25.4</f>
        <v>0</v>
      </c>
      <c r="G10">
        <f>'Rotor model (SI)'!I10/25.4</f>
        <v>0</v>
      </c>
      <c r="H10">
        <f>'Rotor model (SI)'!J10*CONVERT(1,"kg","lbm")/CONVERT(1,"m","in")^3</f>
        <v>0.28299999999999997</v>
      </c>
      <c r="I10">
        <f>'Rotor model (SI)'!K10*1000000000*CONVERT(1,"N","lbf")/CONVERT(1,"m","in")^2</f>
        <v>30000000</v>
      </c>
      <c r="J10">
        <f>'Rotor model (SI)'!L10</f>
        <v>0.3</v>
      </c>
      <c r="K10" s="7">
        <f t="shared" si="7"/>
        <v>0.70953400225085739</v>
      </c>
      <c r="L10" s="6">
        <f t="shared" si="8"/>
        <v>0.70953400225085739</v>
      </c>
      <c r="M10" s="6">
        <f t="shared" si="9"/>
        <v>0.4530019837370598</v>
      </c>
      <c r="N10" s="6">
        <f t="shared" si="10"/>
        <v>0.24959780183763333</v>
      </c>
      <c r="O10" s="106">
        <f>'Rotor model (SI)'!Q10*CONVERT(1,"kg","lbm")</f>
        <v>0</v>
      </c>
      <c r="P10" s="106">
        <f>'Rotor model (SI)'!R10*CONVERT(1,"kg","lbm")*CONVERT(1,"m","in")^2</f>
        <v>0</v>
      </c>
      <c r="Q10" s="106">
        <f>'Rotor model (SI)'!S10*CONVERT(1,"kg","lbm")*CONVERT(1,"m","in")^2</f>
        <v>0</v>
      </c>
      <c r="U10">
        <f>'Rotor model (SI)'!U10*CONVERT(1,"N","lbf")</f>
        <v>0</v>
      </c>
      <c r="V10">
        <f>'Rotor model (SI)'!V10</f>
        <v>0</v>
      </c>
      <c r="W10">
        <f>'Rotor model (SI)'!W10/25.4</f>
        <v>0</v>
      </c>
      <c r="X10">
        <f>'Rotor model (SI)'!X10</f>
        <v>0</v>
      </c>
      <c r="Y10">
        <f>'Rotor model (SI)'!Y10/25.4</f>
        <v>0</v>
      </c>
      <c r="Z10">
        <f>'Rotor model (SI)'!Z10</f>
        <v>0</v>
      </c>
      <c r="AA10">
        <f>'Rotor model (SI)'!AA10</f>
        <v>0</v>
      </c>
      <c r="AB10">
        <f>'Rotor model (SI)'!AB10</f>
        <v>0</v>
      </c>
      <c r="AC10" s="19">
        <f t="shared" si="11"/>
        <v>3.4809999999999999</v>
      </c>
      <c r="AD10">
        <f t="shared" si="12"/>
        <v>1.9548875367131646</v>
      </c>
      <c r="AE10">
        <f t="shared" si="13"/>
        <v>6.8049635152985255</v>
      </c>
      <c r="AF10">
        <f t="shared" si="14"/>
        <v>2.8151255673929079</v>
      </c>
      <c r="AG10">
        <f t="shared" si="15"/>
        <v>2.1138894641758306</v>
      </c>
      <c r="AH10">
        <f t="shared" si="16"/>
        <v>188.37105157856999</v>
      </c>
    </row>
    <row r="11" spans="1:39" x14ac:dyDescent="0.25">
      <c r="A11">
        <v>6</v>
      </c>
      <c r="B11" s="8" t="s">
        <v>247</v>
      </c>
      <c r="C11">
        <v>0.625</v>
      </c>
      <c r="D11">
        <v>2.2599999999999998</v>
      </c>
      <c r="E11">
        <v>2.2599999999999998</v>
      </c>
      <c r="F11">
        <f>'Rotor model (SI)'!H11/25.4</f>
        <v>0</v>
      </c>
      <c r="G11">
        <f>'Rotor model (SI)'!I11/25.4</f>
        <v>0</v>
      </c>
      <c r="H11">
        <f>'Rotor model (SI)'!J11*CONVERT(1,"kg","lbm")/CONVERT(1,"m","in")^3</f>
        <v>0.28299999999999997</v>
      </c>
      <c r="I11">
        <f>'Rotor model (SI)'!K11*1000000000*CONVERT(1,"N","lbf")/CONVERT(1,"m","in")^2</f>
        <v>30000000</v>
      </c>
      <c r="J11">
        <f>'Rotor model (SI)'!L11</f>
        <v>0.3</v>
      </c>
      <c r="K11" s="7">
        <f t="shared" si="7"/>
        <v>0.70953400225085739</v>
      </c>
      <c r="L11" s="6">
        <f t="shared" si="8"/>
        <v>0.70953400225085739</v>
      </c>
      <c r="M11" s="6">
        <f t="shared" si="9"/>
        <v>0.4530019837370598</v>
      </c>
      <c r="N11" s="6">
        <f t="shared" si="10"/>
        <v>0.24959780183763333</v>
      </c>
      <c r="O11" s="106">
        <f>'Rotor model (SI)'!Q11*CONVERT(1,"kg","lbm")</f>
        <v>0</v>
      </c>
      <c r="P11" s="106">
        <f>'Rotor model (SI)'!R11*CONVERT(1,"kg","lbm")*CONVERT(1,"m","in")^2</f>
        <v>0</v>
      </c>
      <c r="Q11" s="106">
        <f>'Rotor model (SI)'!S11*CONVERT(1,"kg","lbm")*CONVERT(1,"m","in")^2</f>
        <v>0</v>
      </c>
      <c r="U11">
        <f>'Rotor model (SI)'!U11*CONVERT(1,"N","lbf")</f>
        <v>0</v>
      </c>
      <c r="V11">
        <f>'Rotor model (SI)'!V11</f>
        <v>0</v>
      </c>
      <c r="W11">
        <f>'Rotor model (SI)'!W11/25.4</f>
        <v>0</v>
      </c>
      <c r="X11">
        <f>'Rotor model (SI)'!X11</f>
        <v>0</v>
      </c>
      <c r="Y11">
        <f>'Rotor model (SI)'!Y11/25.4</f>
        <v>0</v>
      </c>
      <c r="Z11">
        <f>'Rotor model (SI)'!Z11</f>
        <v>0</v>
      </c>
      <c r="AA11">
        <f>'Rotor model (SI)'!AA11</f>
        <v>0</v>
      </c>
      <c r="AB11">
        <f>'Rotor model (SI)'!AB11</f>
        <v>0</v>
      </c>
      <c r="AC11" s="19">
        <f>AC10+C10</f>
        <v>4.1059999999999999</v>
      </c>
      <c r="AD11">
        <f t="shared" si="12"/>
        <v>0.70953400225085739</v>
      </c>
      <c r="AE11">
        <f t="shared" si="13"/>
        <v>2.9133466132420205</v>
      </c>
      <c r="AF11">
        <f t="shared" si="14"/>
        <v>0.4530019837370598</v>
      </c>
      <c r="AG11">
        <f t="shared" si="15"/>
        <v>0.31888823174494363</v>
      </c>
      <c r="AH11">
        <f t="shared" si="16"/>
        <v>174.20659765064619</v>
      </c>
    </row>
    <row r="12" spans="1:39" x14ac:dyDescent="0.25">
      <c r="A12">
        <v>7</v>
      </c>
      <c r="C12">
        <v>1.5</v>
      </c>
      <c r="D12">
        <v>2.2599999999999998</v>
      </c>
      <c r="E12">
        <v>2.2599999999999998</v>
      </c>
      <c r="F12">
        <f>'Rotor model (SI)'!H12/25.4</f>
        <v>0</v>
      </c>
      <c r="G12">
        <f>'Rotor model (SI)'!I12/25.4</f>
        <v>0</v>
      </c>
      <c r="H12">
        <f>'Rotor model (SI)'!J12*CONVERT(1,"kg","lbm")/CONVERT(1,"m","in")^3</f>
        <v>0.28299999999999997</v>
      </c>
      <c r="I12">
        <f>'Rotor model (SI)'!K12*1000000000*CONVERT(1,"N","lbf")/CONVERT(1,"m","in")^2</f>
        <v>30000000</v>
      </c>
      <c r="J12">
        <f>'Rotor model (SI)'!L12</f>
        <v>0.3</v>
      </c>
      <c r="K12" s="7">
        <f t="shared" si="7"/>
        <v>1.7028816054020577</v>
      </c>
      <c r="L12" s="6">
        <f t="shared" si="8"/>
        <v>1.7028816054020577</v>
      </c>
      <c r="M12" s="6">
        <f t="shared" si="9"/>
        <v>1.0872047609689435</v>
      </c>
      <c r="N12" s="6">
        <f t="shared" si="10"/>
        <v>0.86289268149735765</v>
      </c>
      <c r="O12" s="106">
        <f>'Rotor model (SI)'!Q12*CONVERT(1,"kg","lbm")</f>
        <v>0</v>
      </c>
      <c r="P12" s="106">
        <f>'Rotor model (SI)'!R12*CONVERT(1,"kg","lbm")*CONVERT(1,"m","in")^2</f>
        <v>0</v>
      </c>
      <c r="Q12" s="106">
        <f>'Rotor model (SI)'!S12*CONVERT(1,"kg","lbm")*CONVERT(1,"m","in")^2</f>
        <v>0</v>
      </c>
      <c r="U12">
        <f>'Rotor model (SI)'!U12*CONVERT(1,"N","lbf")</f>
        <v>0</v>
      </c>
      <c r="V12">
        <f>'Rotor model (SI)'!V12</f>
        <v>0</v>
      </c>
      <c r="W12">
        <f>'Rotor model (SI)'!W12/25.4</f>
        <v>0</v>
      </c>
      <c r="X12">
        <f>'Rotor model (SI)'!X12</f>
        <v>0</v>
      </c>
      <c r="Y12">
        <f>'Rotor model (SI)'!Y12/25.4</f>
        <v>0</v>
      </c>
      <c r="Z12">
        <f>'Rotor model (SI)'!Z12</f>
        <v>0</v>
      </c>
      <c r="AA12">
        <f>'Rotor model (SI)'!AA12</f>
        <v>0</v>
      </c>
      <c r="AB12">
        <f>'Rotor model (SI)'!AB12</f>
        <v>0</v>
      </c>
      <c r="AC12" s="19">
        <f t="shared" si="11"/>
        <v>4.7309999999999999</v>
      </c>
      <c r="AD12">
        <f t="shared" si="12"/>
        <v>1.2062078038264574</v>
      </c>
      <c r="AE12">
        <f t="shared" si="13"/>
        <v>5.7065691199029702</v>
      </c>
      <c r="AF12">
        <f t="shared" si="14"/>
        <v>0.77010337235300164</v>
      </c>
      <c r="AG12">
        <f t="shared" si="15"/>
        <v>1.0698259081404793</v>
      </c>
      <c r="AH12">
        <f t="shared" si="16"/>
        <v>363.62193379614467</v>
      </c>
    </row>
    <row r="13" spans="1:39" x14ac:dyDescent="0.25">
      <c r="A13">
        <v>8</v>
      </c>
      <c r="C13">
        <v>1.5</v>
      </c>
      <c r="D13" s="97">
        <v>2.0499999999999998</v>
      </c>
      <c r="E13">
        <v>2.2599999999999998</v>
      </c>
      <c r="F13">
        <f>'Rotor model (SI)'!H13/25.4</f>
        <v>0</v>
      </c>
      <c r="G13">
        <f>'Rotor model (SI)'!I13/25.4</f>
        <v>0</v>
      </c>
      <c r="H13">
        <f>'Rotor model (SI)'!J13*CONVERT(1,"kg","lbm")/CONVERT(1,"m","in")^3</f>
        <v>0.28299999999999997</v>
      </c>
      <c r="I13">
        <f>'Rotor model (SI)'!K13*1000000000*CONVERT(1,"N","lbf")/CONVERT(1,"m","in")^2</f>
        <v>30000000</v>
      </c>
      <c r="J13">
        <f>'Rotor model (SI)'!L13</f>
        <v>0.3</v>
      </c>
      <c r="K13" s="7">
        <f t="shared" si="7"/>
        <v>1.7028816054020577</v>
      </c>
      <c r="L13" s="6">
        <f t="shared" si="8"/>
        <v>1.7028816054020577</v>
      </c>
      <c r="M13" s="6">
        <f t="shared" si="9"/>
        <v>1.0872047609689435</v>
      </c>
      <c r="N13" s="6">
        <f t="shared" si="10"/>
        <v>0.86289268149735765</v>
      </c>
      <c r="O13" s="106">
        <f>'Rotor model (SI)'!Q13*CONVERT(1,"kg","lbm")</f>
        <v>0</v>
      </c>
      <c r="P13" s="106">
        <f>'Rotor model (SI)'!R13*CONVERT(1,"kg","lbm")*CONVERT(1,"m","in")^2</f>
        <v>0</v>
      </c>
      <c r="Q13" s="106">
        <f>'Rotor model (SI)'!S13*CONVERT(1,"kg","lbm")*CONVERT(1,"m","in")^2</f>
        <v>0</v>
      </c>
      <c r="U13">
        <f>'Rotor model (SI)'!U13*CONVERT(1,"N","lbf")</f>
        <v>0</v>
      </c>
      <c r="V13">
        <f>'Rotor model (SI)'!V13</f>
        <v>0</v>
      </c>
      <c r="W13">
        <f>'Rotor model (SI)'!W13/25.4</f>
        <v>0</v>
      </c>
      <c r="X13">
        <f>'Rotor model (SI)'!X13</f>
        <v>0</v>
      </c>
      <c r="Y13">
        <f>'Rotor model (SI)'!Y13/25.4</f>
        <v>0</v>
      </c>
      <c r="Z13">
        <f>'Rotor model (SI)'!Z13</f>
        <v>0</v>
      </c>
      <c r="AA13">
        <f>'Rotor model (SI)'!AA13</f>
        <v>0</v>
      </c>
      <c r="AB13">
        <f>'Rotor model (SI)'!AB13</f>
        <v>0</v>
      </c>
      <c r="AC13" s="19">
        <f t="shared" si="11"/>
        <v>6.2309999999999999</v>
      </c>
      <c r="AD13">
        <f t="shared" si="12"/>
        <v>1.7028816054020577</v>
      </c>
      <c r="AE13">
        <f t="shared" si="13"/>
        <v>10.610655283260222</v>
      </c>
      <c r="AF13">
        <f t="shared" si="14"/>
        <v>1.0872047609689435</v>
      </c>
      <c r="AG13">
        <f t="shared" si="15"/>
        <v>1.8207635845360151</v>
      </c>
      <c r="AH13">
        <f t="shared" si="16"/>
        <v>292.89054940574192</v>
      </c>
    </row>
    <row r="14" spans="1:39" x14ac:dyDescent="0.25">
      <c r="A14">
        <v>9</v>
      </c>
      <c r="C14">
        <v>1.25</v>
      </c>
      <c r="D14" s="97">
        <v>2.0499999999999998</v>
      </c>
      <c r="E14">
        <v>2.2599999999999998</v>
      </c>
      <c r="F14">
        <f>'Rotor model (SI)'!H14/25.4</f>
        <v>0</v>
      </c>
      <c r="G14">
        <f>'Rotor model (SI)'!I14/25.4</f>
        <v>0</v>
      </c>
      <c r="H14">
        <f>'Rotor model (SI)'!J14*CONVERT(1,"kg","lbm")/CONVERT(1,"m","in")^3</f>
        <v>0.28299999999999997</v>
      </c>
      <c r="I14">
        <f>'Rotor model (SI)'!K14*1000000000*CONVERT(1,"N","lbf")/CONVERT(1,"m","in")^2</f>
        <v>30000000</v>
      </c>
      <c r="J14">
        <f>'Rotor model (SI)'!L14</f>
        <v>0.3</v>
      </c>
      <c r="K14" s="7">
        <f t="shared" si="7"/>
        <v>1.4190680045017148</v>
      </c>
      <c r="L14" s="6">
        <f t="shared" si="8"/>
        <v>1.4190680045017148</v>
      </c>
      <c r="M14" s="6">
        <f t="shared" si="9"/>
        <v>0.9060039674741196</v>
      </c>
      <c r="N14" s="6">
        <f t="shared" si="10"/>
        <v>0.63777646348988726</v>
      </c>
      <c r="O14" s="106">
        <f>'Rotor model (SI)'!Q14*CONVERT(1,"kg","lbm")</f>
        <v>0</v>
      </c>
      <c r="P14" s="106">
        <f>'Rotor model (SI)'!R14*CONVERT(1,"kg","lbm")*CONVERT(1,"m","in")^2</f>
        <v>0</v>
      </c>
      <c r="Q14" s="106">
        <f>'Rotor model (SI)'!S14*CONVERT(1,"kg","lbm")*CONVERT(1,"m","in")^2</f>
        <v>0</v>
      </c>
      <c r="U14">
        <f>'Rotor model (SI)'!U14*CONVERT(1,"N","lbf")</f>
        <v>0</v>
      </c>
      <c r="V14">
        <f>'Rotor model (SI)'!V14</f>
        <v>0</v>
      </c>
      <c r="W14">
        <f>'Rotor model (SI)'!W14/25.4</f>
        <v>0</v>
      </c>
      <c r="X14">
        <f>'Rotor model (SI)'!X14</f>
        <v>0</v>
      </c>
      <c r="Y14">
        <f>'Rotor model (SI)'!Y14/25.4</f>
        <v>0</v>
      </c>
      <c r="Z14">
        <f>'Rotor model (SI)'!Z14</f>
        <v>0</v>
      </c>
      <c r="AA14">
        <f>'Rotor model (SI)'!AA14</f>
        <v>0</v>
      </c>
      <c r="AB14">
        <f>'Rotor model (SI)'!AB14</f>
        <v>0</v>
      </c>
      <c r="AC14" s="19">
        <f t="shared" si="11"/>
        <v>7.7309999999999999</v>
      </c>
      <c r="AD14">
        <f t="shared" si="12"/>
        <v>1.5609748049518863</v>
      </c>
      <c r="AE14">
        <f t="shared" si="13"/>
        <v>12.067896217083034</v>
      </c>
      <c r="AF14">
        <f t="shared" si="14"/>
        <v>0.99660436422153154</v>
      </c>
      <c r="AG14">
        <f t="shared" si="15"/>
        <v>1.5064317436421923</v>
      </c>
      <c r="AH14">
        <f t="shared" si="16"/>
        <v>195.57299164076522</v>
      </c>
    </row>
    <row r="15" spans="1:39" x14ac:dyDescent="0.25">
      <c r="A15">
        <v>10</v>
      </c>
      <c r="C15">
        <v>0.75</v>
      </c>
      <c r="D15">
        <v>2.2599999999999998</v>
      </c>
      <c r="E15">
        <v>2.2599999999999998</v>
      </c>
      <c r="F15">
        <f>'Rotor model (SI)'!H15/25.4</f>
        <v>0</v>
      </c>
      <c r="G15">
        <f>'Rotor model (SI)'!I15/25.4</f>
        <v>0</v>
      </c>
      <c r="H15">
        <f>'Rotor model (SI)'!J15*CONVERT(1,"kg","lbm")/CONVERT(1,"m","in")^3</f>
        <v>0.28299999999999997</v>
      </c>
      <c r="I15">
        <f>'Rotor model (SI)'!K15*1000000000*CONVERT(1,"N","lbf")/CONVERT(1,"m","in")^2</f>
        <v>30000000</v>
      </c>
      <c r="J15">
        <f>'Rotor model (SI)'!L15</f>
        <v>0.3</v>
      </c>
      <c r="K15" s="7">
        <f t="shared" si="7"/>
        <v>0.85144080270102884</v>
      </c>
      <c r="L15" s="6">
        <f t="shared" si="8"/>
        <v>0.85144080270102884</v>
      </c>
      <c r="M15" s="6">
        <f t="shared" si="9"/>
        <v>0.54360238048447174</v>
      </c>
      <c r="N15" s="6">
        <f t="shared" si="10"/>
        <v>0.31171247786884665</v>
      </c>
      <c r="O15" s="106">
        <f>'Rotor model (SI)'!Q15*CONVERT(1,"kg","lbm")</f>
        <v>0</v>
      </c>
      <c r="P15" s="106">
        <f>'Rotor model (SI)'!R15*CONVERT(1,"kg","lbm")*CONVERT(1,"m","in")^2</f>
        <v>0</v>
      </c>
      <c r="Q15" s="106">
        <f>'Rotor model (SI)'!S15*CONVERT(1,"kg","lbm")*CONVERT(1,"m","in")^2</f>
        <v>0</v>
      </c>
      <c r="U15">
        <f>'Rotor model (SI)'!U15*CONVERT(1,"N","lbf")</f>
        <v>0</v>
      </c>
      <c r="V15">
        <f>'Rotor model (SI)'!V15</f>
        <v>0</v>
      </c>
      <c r="W15">
        <f>'Rotor model (SI)'!W15/25.4</f>
        <v>0</v>
      </c>
      <c r="X15">
        <f>'Rotor model (SI)'!X15</f>
        <v>0</v>
      </c>
      <c r="Y15">
        <f>'Rotor model (SI)'!Y15/25.4</f>
        <v>0</v>
      </c>
      <c r="Z15">
        <f>'Rotor model (SI)'!Z15</f>
        <v>0</v>
      </c>
      <c r="AA15">
        <f>'Rotor model (SI)'!AA15</f>
        <v>0</v>
      </c>
      <c r="AB15">
        <f>'Rotor model (SI)'!AB15</f>
        <v>0</v>
      </c>
      <c r="AC15" s="19">
        <f t="shared" si="11"/>
        <v>8.9809999999999999</v>
      </c>
      <c r="AD15">
        <f t="shared" si="12"/>
        <v>1.1352544036013719</v>
      </c>
      <c r="AE15">
        <f t="shared" si="13"/>
        <v>10.195719798743921</v>
      </c>
      <c r="AF15">
        <f t="shared" si="14"/>
        <v>0.72480317397929572</v>
      </c>
      <c r="AG15">
        <f t="shared" si="15"/>
        <v>0.81177312174852423</v>
      </c>
      <c r="AH15">
        <f t="shared" si="16"/>
        <v>98.165777668280185</v>
      </c>
    </row>
    <row r="16" spans="1:39" x14ac:dyDescent="0.25">
      <c r="A16">
        <v>11</v>
      </c>
      <c r="C16">
        <f>3.5/2</f>
        <v>1.75</v>
      </c>
      <c r="D16">
        <v>2.34</v>
      </c>
      <c r="E16">
        <v>2.34</v>
      </c>
      <c r="F16">
        <f>'Rotor model (SI)'!H16/25.4</f>
        <v>0</v>
      </c>
      <c r="G16">
        <f>'Rotor model (SI)'!I16/25.4</f>
        <v>0</v>
      </c>
      <c r="H16">
        <f>'Rotor model (SI)'!J16*CONVERT(1,"kg","lbm")/CONVERT(1,"m","in")^3</f>
        <v>0.28299999999999997</v>
      </c>
      <c r="I16">
        <f>'Rotor model (SI)'!K16*1000000000*CONVERT(1,"N","lbf")/CONVERT(1,"m","in")^2</f>
        <v>30000000</v>
      </c>
      <c r="J16">
        <f>'Rotor model (SI)'!L16</f>
        <v>0.3</v>
      </c>
      <c r="K16" s="7">
        <f t="shared" si="7"/>
        <v>2.1298355923779129</v>
      </c>
      <c r="L16" s="6">
        <f t="shared" si="8"/>
        <v>2.1298355923779129</v>
      </c>
      <c r="M16" s="6">
        <f t="shared" si="9"/>
        <v>1.4577659712030622</v>
      </c>
      <c r="N16" s="6">
        <f t="shared" si="10"/>
        <v>1.2724347774063109</v>
      </c>
      <c r="O16" s="106">
        <f>'Rotor model (SI)'!Q16*CONVERT(1,"kg","lbm")</f>
        <v>0</v>
      </c>
      <c r="P16" s="106">
        <f>'Rotor model (SI)'!R16*CONVERT(1,"kg","lbm")*CONVERT(1,"m","in")^2</f>
        <v>0</v>
      </c>
      <c r="Q16" s="106">
        <f>'Rotor model (SI)'!S16*CONVERT(1,"kg","lbm")*CONVERT(1,"m","in")^2</f>
        <v>0</v>
      </c>
      <c r="U16">
        <f>'Rotor model (SI)'!U16*CONVERT(1,"N","lbf")</f>
        <v>0</v>
      </c>
      <c r="V16">
        <f>'Rotor model (SI)'!V16</f>
        <v>0</v>
      </c>
      <c r="W16">
        <f>'Rotor model (SI)'!W16/25.4</f>
        <v>0</v>
      </c>
      <c r="X16">
        <f>'Rotor model (SI)'!X16</f>
        <v>0</v>
      </c>
      <c r="Y16">
        <f>'Rotor model (SI)'!Y16/25.4</f>
        <v>0</v>
      </c>
      <c r="Z16">
        <f>'Rotor model (SI)'!Z16</f>
        <v>0</v>
      </c>
      <c r="AA16">
        <f>'Rotor model (SI)'!AA16</f>
        <v>0</v>
      </c>
      <c r="AB16">
        <f>'Rotor model (SI)'!AB16</f>
        <v>0</v>
      </c>
      <c r="AC16" s="19">
        <f t="shared" si="11"/>
        <v>9.7309999999999999</v>
      </c>
      <c r="AD16">
        <f t="shared" si="12"/>
        <v>1.4906381975394709</v>
      </c>
      <c r="AE16">
        <f t="shared" si="13"/>
        <v>14.505400300256591</v>
      </c>
      <c r="AF16">
        <f t="shared" si="14"/>
        <v>1.000684175843767</v>
      </c>
      <c r="AG16">
        <f t="shared" si="15"/>
        <v>1.6672682467846647</v>
      </c>
      <c r="AH16">
        <f t="shared" si="16"/>
        <v>192.29535527685587</v>
      </c>
    </row>
    <row r="17" spans="1:36" x14ac:dyDescent="0.25">
      <c r="A17">
        <v>12</v>
      </c>
      <c r="C17">
        <f>3.5/2</f>
        <v>1.75</v>
      </c>
      <c r="D17">
        <v>2.34</v>
      </c>
      <c r="E17">
        <v>2.34</v>
      </c>
      <c r="F17">
        <f>'Rotor model (SI)'!H17/25.4</f>
        <v>0</v>
      </c>
      <c r="G17">
        <f>'Rotor model (SI)'!I17/25.4</f>
        <v>0</v>
      </c>
      <c r="H17">
        <f>'Rotor model (SI)'!J17*CONVERT(1,"kg","lbm")/CONVERT(1,"m","in")^3</f>
        <v>0.28299999999999997</v>
      </c>
      <c r="I17">
        <f>'Rotor model (SI)'!K17*1000000000*CONVERT(1,"N","lbf")/CONVERT(1,"m","in")^2</f>
        <v>30000000</v>
      </c>
      <c r="J17">
        <f>'Rotor model (SI)'!L17</f>
        <v>0.3</v>
      </c>
      <c r="K17" s="7">
        <f t="shared" si="7"/>
        <v>2.1298355923779129</v>
      </c>
      <c r="L17" s="6">
        <f t="shared" si="8"/>
        <v>2.1298355923779129</v>
      </c>
      <c r="M17" s="6">
        <f t="shared" si="9"/>
        <v>1.4577659712030622</v>
      </c>
      <c r="N17" s="6">
        <f t="shared" si="10"/>
        <v>1.2724347774063109</v>
      </c>
      <c r="O17" s="106">
        <f>'Rotor model (SI)'!Q17*CONVERT(1,"kg","lbm")</f>
        <v>0</v>
      </c>
      <c r="P17" s="106">
        <f>'Rotor model (SI)'!R17*CONVERT(1,"kg","lbm")*CONVERT(1,"m","in")^2</f>
        <v>0</v>
      </c>
      <c r="Q17" s="106">
        <f>'Rotor model (SI)'!S17*CONVERT(1,"kg","lbm")*CONVERT(1,"m","in")^2</f>
        <v>0</v>
      </c>
      <c r="U17">
        <f>'Rotor model (SI)'!U17*CONVERT(1,"N","lbf")</f>
        <v>0</v>
      </c>
      <c r="V17">
        <f>'Rotor model (SI)'!V17</f>
        <v>0</v>
      </c>
      <c r="W17">
        <f>'Rotor model (SI)'!W17/25.4</f>
        <v>0</v>
      </c>
      <c r="X17">
        <f>'Rotor model (SI)'!X17</f>
        <v>0</v>
      </c>
      <c r="Y17">
        <f>'Rotor model (SI)'!Y17/25.4</f>
        <v>0</v>
      </c>
      <c r="Z17">
        <f>'Rotor model (SI)'!Z17</f>
        <v>0</v>
      </c>
      <c r="AA17">
        <f>'Rotor model (SI)'!AA17</f>
        <v>0</v>
      </c>
      <c r="AB17">
        <f>'Rotor model (SI)'!AB17</f>
        <v>0</v>
      </c>
      <c r="AC17" s="19">
        <f t="shared" si="11"/>
        <v>11.481</v>
      </c>
      <c r="AD17">
        <f t="shared" si="12"/>
        <v>2.1298355923779129</v>
      </c>
      <c r="AE17">
        <f t="shared" si="13"/>
        <v>24.452642436090816</v>
      </c>
      <c r="AF17">
        <f t="shared" si="14"/>
        <v>1.4577659712030622</v>
      </c>
      <c r="AG17">
        <f t="shared" si="15"/>
        <v>2.9030901528206505</v>
      </c>
      <c r="AH17">
        <f t="shared" si="16"/>
        <v>128.22137038531343</v>
      </c>
    </row>
    <row r="18" spans="1:36" x14ac:dyDescent="0.25">
      <c r="A18">
        <v>13</v>
      </c>
      <c r="C18">
        <v>0.1</v>
      </c>
      <c r="D18">
        <v>2.34</v>
      </c>
      <c r="E18">
        <v>2.34</v>
      </c>
      <c r="F18">
        <f>'Rotor model (SI)'!H18/25.4</f>
        <v>0</v>
      </c>
      <c r="G18">
        <f>'Rotor model (SI)'!I18/25.4</f>
        <v>0</v>
      </c>
      <c r="H18">
        <f>'Rotor model (SI)'!J18*CONVERT(1,"kg","lbm")/CONVERT(1,"m","in")^3</f>
        <v>0.28299999999999997</v>
      </c>
      <c r="I18">
        <f>'Rotor model (SI)'!K18*1000000000*CONVERT(1,"N","lbf")/CONVERT(1,"m","in")^2</f>
        <v>30000000</v>
      </c>
      <c r="J18">
        <f>'Rotor model (SI)'!L18</f>
        <v>0.3</v>
      </c>
      <c r="K18" s="7">
        <f t="shared" si="7"/>
        <v>0.12170489099302359</v>
      </c>
      <c r="L18" s="6">
        <f t="shared" si="8"/>
        <v>0.12170489099302359</v>
      </c>
      <c r="M18" s="6">
        <f t="shared" si="9"/>
        <v>8.3300912640174987E-2</v>
      </c>
      <c r="N18" s="6">
        <f t="shared" si="10"/>
        <v>4.1751877062581676E-2</v>
      </c>
      <c r="O18" s="106">
        <f>'Rotor model (SI)'!Q18*CONVERT(1,"kg","lbm")</f>
        <v>0</v>
      </c>
      <c r="P18" s="106">
        <f>'Rotor model (SI)'!R18*CONVERT(1,"kg","lbm")*CONVERT(1,"m","in")^2</f>
        <v>0</v>
      </c>
      <c r="Q18" s="106">
        <f>'Rotor model (SI)'!S18*CONVERT(1,"kg","lbm")*CONVERT(1,"m","in")^2</f>
        <v>0</v>
      </c>
      <c r="U18">
        <f>'Rotor model (SI)'!U18*CONVERT(1,"N","lbf")</f>
        <v>0</v>
      </c>
      <c r="V18">
        <f>'Rotor model (SI)'!V18</f>
        <v>0</v>
      </c>
      <c r="W18">
        <f>'Rotor model (SI)'!W18/25.4</f>
        <v>0</v>
      </c>
      <c r="X18">
        <f>'Rotor model (SI)'!X18</f>
        <v>0</v>
      </c>
      <c r="Y18">
        <f>'Rotor model (SI)'!Y18/25.4</f>
        <v>0</v>
      </c>
      <c r="Z18">
        <f>'Rotor model (SI)'!Z18</f>
        <v>0</v>
      </c>
      <c r="AA18">
        <f>'Rotor model (SI)'!AA18</f>
        <v>0</v>
      </c>
      <c r="AB18">
        <f>'Rotor model (SI)'!AB18</f>
        <v>0</v>
      </c>
      <c r="AC18" s="19">
        <f t="shared" si="11"/>
        <v>13.231</v>
      </c>
      <c r="AD18">
        <f t="shared" si="12"/>
        <v>1.1257702416854682</v>
      </c>
      <c r="AE18">
        <f t="shared" si="13"/>
        <v>14.89506606774043</v>
      </c>
      <c r="AF18">
        <f t="shared" si="14"/>
        <v>0.77053344192161854</v>
      </c>
      <c r="AG18">
        <f t="shared" si="15"/>
        <v>1.4725731460553573</v>
      </c>
      <c r="AH18">
        <f t="shared" si="16"/>
        <v>5.661824438400326</v>
      </c>
    </row>
    <row r="19" spans="1:36" x14ac:dyDescent="0.25">
      <c r="A19">
        <v>14</v>
      </c>
      <c r="B19" s="8"/>
      <c r="C19">
        <v>0.5</v>
      </c>
      <c r="D19" s="97">
        <v>2.9</v>
      </c>
      <c r="E19">
        <v>9.5</v>
      </c>
      <c r="F19">
        <f>'Rotor model (SI)'!H19/25.4</f>
        <v>0</v>
      </c>
      <c r="G19">
        <f>'Rotor model (SI)'!I19/25.4</f>
        <v>0</v>
      </c>
      <c r="H19">
        <f>'Rotor model (SI)'!J19*CONVERT(1,"kg","lbm")/CONVERT(1,"m","in")^3</f>
        <v>0.28299999999999997</v>
      </c>
      <c r="I19">
        <f>'Rotor model (SI)'!K19*1000000000*CONVERT(1,"N","lbf")/CONVERT(1,"m","in")^2</f>
        <v>30000000</v>
      </c>
      <c r="J19">
        <f>'Rotor model (SI)'!L19</f>
        <v>0.3</v>
      </c>
      <c r="K19" s="7">
        <f t="shared" si="7"/>
        <v>10.029829070896687</v>
      </c>
      <c r="L19" s="6">
        <f t="shared" si="8"/>
        <v>10.029829070896687</v>
      </c>
      <c r="M19" s="6">
        <f t="shared" si="9"/>
        <v>113.14900920605325</v>
      </c>
      <c r="N19" s="6">
        <f t="shared" si="10"/>
        <v>56.783459375336975</v>
      </c>
      <c r="O19" s="106">
        <f>'Rotor model (SI)'!Q19*CONVERT(1,"kg","lbm")</f>
        <v>0</v>
      </c>
      <c r="P19" s="106">
        <f>'Rotor model (SI)'!R19*CONVERT(1,"kg","lbm")*CONVERT(1,"m","in")^2</f>
        <v>0</v>
      </c>
      <c r="Q19" s="106">
        <f>'Rotor model (SI)'!S19*CONVERT(1,"kg","lbm")*CONVERT(1,"m","in")^2</f>
        <v>0</v>
      </c>
      <c r="U19">
        <f>'Rotor model (SI)'!U19*CONVERT(1,"N","lbf")</f>
        <v>0</v>
      </c>
      <c r="V19">
        <f>'Rotor model (SI)'!V19</f>
        <v>0</v>
      </c>
      <c r="W19">
        <f>'Rotor model (SI)'!W19/25.4</f>
        <v>0</v>
      </c>
      <c r="X19">
        <f>'Rotor model (SI)'!X19</f>
        <v>0</v>
      </c>
      <c r="Y19">
        <f>'Rotor model (SI)'!Y19/25.4</f>
        <v>0</v>
      </c>
      <c r="Z19">
        <f>'Rotor model (SI)'!Z19</f>
        <v>0</v>
      </c>
      <c r="AA19">
        <f>'Rotor model (SI)'!AA19</f>
        <v>0</v>
      </c>
      <c r="AB19">
        <f>'Rotor model (SI)'!AB19</f>
        <v>0</v>
      </c>
      <c r="AC19" s="19">
        <f t="shared" si="11"/>
        <v>13.331</v>
      </c>
      <c r="AD19">
        <f t="shared" si="12"/>
        <v>5.0757669809448549</v>
      </c>
      <c r="AE19">
        <f t="shared" si="13"/>
        <v>67.665049622975857</v>
      </c>
      <c r="AF19">
        <f t="shared" si="14"/>
        <v>56.61615505934671</v>
      </c>
      <c r="AG19">
        <f t="shared" si="15"/>
        <v>28.726189915779038</v>
      </c>
      <c r="AH19">
        <f t="shared" si="16"/>
        <v>479.94807986387701</v>
      </c>
    </row>
    <row r="20" spans="1:36" x14ac:dyDescent="0.25">
      <c r="A20">
        <v>15</v>
      </c>
      <c r="B20" s="8" t="s">
        <v>252</v>
      </c>
      <c r="C20">
        <v>0.5</v>
      </c>
      <c r="D20" s="97">
        <f>D19</f>
        <v>2.9</v>
      </c>
      <c r="E20">
        <v>9.5</v>
      </c>
      <c r="F20">
        <f>'Rotor model (SI)'!H20/25.4</f>
        <v>0</v>
      </c>
      <c r="G20">
        <f>'Rotor model (SI)'!I20/25.4</f>
        <v>0</v>
      </c>
      <c r="H20">
        <f>'Rotor model (SI)'!J20*CONVERT(1,"kg","lbm")/CONVERT(1,"m","in")^3</f>
        <v>0.28299999999999997</v>
      </c>
      <c r="I20">
        <f>'Rotor model (SI)'!K20*1000000000*CONVERT(1,"N","lbf")/CONVERT(1,"m","in")^2</f>
        <v>30000000</v>
      </c>
      <c r="J20">
        <f>'Rotor model (SI)'!L20</f>
        <v>0.3</v>
      </c>
      <c r="K20" s="7">
        <f t="shared" si="7"/>
        <v>10.029829070896687</v>
      </c>
      <c r="L20" s="6">
        <f t="shared" si="8"/>
        <v>10.029829070896687</v>
      </c>
      <c r="M20" s="6">
        <f t="shared" si="9"/>
        <v>113.14900920605325</v>
      </c>
      <c r="N20" s="6">
        <f t="shared" si="10"/>
        <v>56.783459375336975</v>
      </c>
      <c r="O20" s="106">
        <f>'Rotor model (SI)'!Q20*CONVERT(1,"kg","lbm")</f>
        <v>0</v>
      </c>
      <c r="P20" s="106">
        <f>'Rotor model (SI)'!R20*CONVERT(1,"kg","lbm")*CONVERT(1,"m","in")^2</f>
        <v>0</v>
      </c>
      <c r="Q20" s="106">
        <f>'Rotor model (SI)'!S20*CONVERT(1,"kg","lbm")*CONVERT(1,"m","in")^2</f>
        <v>0</v>
      </c>
      <c r="U20">
        <f>'Rotor model (SI)'!U20*CONVERT(1,"N","lbf")</f>
        <v>0</v>
      </c>
      <c r="V20">
        <f>'Rotor model (SI)'!V20</f>
        <v>0</v>
      </c>
      <c r="W20">
        <f>'Rotor model (SI)'!W20/25.4</f>
        <v>0</v>
      </c>
      <c r="X20">
        <f>'Rotor model (SI)'!X20</f>
        <v>0</v>
      </c>
      <c r="Y20">
        <f>'Rotor model (SI)'!Y20/25.4</f>
        <v>0</v>
      </c>
      <c r="Z20">
        <f>'Rotor model (SI)'!Z20</f>
        <v>0</v>
      </c>
      <c r="AA20">
        <f>'Rotor model (SI)'!AA20</f>
        <v>0</v>
      </c>
      <c r="AB20">
        <f>'Rotor model (SI)'!AB20</f>
        <v>0</v>
      </c>
      <c r="AC20" s="19">
        <f t="shared" si="11"/>
        <v>13.831</v>
      </c>
      <c r="AD20">
        <f t="shared" si="12"/>
        <v>10.029829070896687</v>
      </c>
      <c r="AE20">
        <f t="shared" si="13"/>
        <v>138.72256587957207</v>
      </c>
      <c r="AF20">
        <f t="shared" si="14"/>
        <v>113.14900920605325</v>
      </c>
      <c r="AG20">
        <f t="shared" si="15"/>
        <v>57.410323692268015</v>
      </c>
      <c r="AH20">
        <f t="shared" si="16"/>
        <v>417.30748411118526</v>
      </c>
    </row>
    <row r="21" spans="1:36" x14ac:dyDescent="0.25">
      <c r="A21">
        <v>16</v>
      </c>
      <c r="C21">
        <f>4.62/4</f>
        <v>1.155</v>
      </c>
      <c r="D21">
        <v>2.42</v>
      </c>
      <c r="E21">
        <v>2.42</v>
      </c>
      <c r="F21">
        <f>'Rotor model (SI)'!H21/25.4</f>
        <v>0</v>
      </c>
      <c r="G21">
        <f>'Rotor model (SI)'!I21/25.4</f>
        <v>0</v>
      </c>
      <c r="H21">
        <f>'Rotor model (SI)'!J21*CONVERT(1,"kg","lbm")/CONVERT(1,"m","in")^3</f>
        <v>0.28299999999999997</v>
      </c>
      <c r="I21">
        <f>'Rotor model (SI)'!K21*1000000000*CONVERT(1,"N","lbf")/CONVERT(1,"m","in")^2</f>
        <v>30000000</v>
      </c>
      <c r="J21">
        <f>'Rotor model (SI)'!L21</f>
        <v>0.3</v>
      </c>
      <c r="K21" s="7">
        <f t="shared" si="7"/>
        <v>1.5034501511639502</v>
      </c>
      <c r="L21" s="6">
        <f t="shared" si="8"/>
        <v>1.5034501511639502</v>
      </c>
      <c r="M21" s="6">
        <f t="shared" si="9"/>
        <v>1.1006006831595696</v>
      </c>
      <c r="N21" s="6">
        <f t="shared" si="10"/>
        <v>0.71743701557199224</v>
      </c>
      <c r="O21" s="106">
        <f>'Rotor model (SI)'!Q21*CONVERT(1,"kg","lbm")</f>
        <v>0</v>
      </c>
      <c r="P21" s="106">
        <f>'Rotor model (SI)'!R21*CONVERT(1,"kg","lbm")*CONVERT(1,"m","in")^2</f>
        <v>0</v>
      </c>
      <c r="Q21" s="106">
        <f>'Rotor model (SI)'!S21*CONVERT(1,"kg","lbm")*CONVERT(1,"m","in")^2</f>
        <v>0</v>
      </c>
      <c r="U21">
        <f>'Rotor model (SI)'!U21*CONVERT(1,"N","lbf")</f>
        <v>0</v>
      </c>
      <c r="V21">
        <f>'Rotor model (SI)'!V21</f>
        <v>0</v>
      </c>
      <c r="W21">
        <f>'Rotor model (SI)'!W21/25.4</f>
        <v>0</v>
      </c>
      <c r="X21">
        <f>'Rotor model (SI)'!X21</f>
        <v>0</v>
      </c>
      <c r="Y21">
        <f>'Rotor model (SI)'!Y21/25.4</f>
        <v>0</v>
      </c>
      <c r="Z21">
        <f>'Rotor model (SI)'!Z21</f>
        <v>0</v>
      </c>
      <c r="AA21">
        <f>'Rotor model (SI)'!AA21</f>
        <v>0</v>
      </c>
      <c r="AB21">
        <f>'Rotor model (SI)'!AB21</f>
        <v>0</v>
      </c>
      <c r="AC21" s="19">
        <f t="shared" si="11"/>
        <v>14.331</v>
      </c>
      <c r="AD21">
        <f t="shared" si="12"/>
        <v>5.7666396110303184</v>
      </c>
      <c r="AE21">
        <f t="shared" si="13"/>
        <v>82.641712265675494</v>
      </c>
      <c r="AF21">
        <f t="shared" si="14"/>
        <v>57.12480494460641</v>
      </c>
      <c r="AG21">
        <f t="shared" si="15"/>
        <v>29.314585364908314</v>
      </c>
      <c r="AH21">
        <f t="shared" si="16"/>
        <v>40.87083324313442</v>
      </c>
    </row>
    <row r="22" spans="1:36" x14ac:dyDescent="0.25">
      <c r="A22">
        <v>17</v>
      </c>
      <c r="C22">
        <f t="shared" ref="C22:C24" si="17">4.62/4</f>
        <v>1.155</v>
      </c>
      <c r="D22">
        <v>2.42</v>
      </c>
      <c r="E22">
        <v>2.42</v>
      </c>
      <c r="F22">
        <f>'Rotor model (SI)'!H22/25.4</f>
        <v>0</v>
      </c>
      <c r="G22">
        <f>'Rotor model (SI)'!I22/25.4</f>
        <v>0</v>
      </c>
      <c r="H22">
        <f>'Rotor model (SI)'!J22*CONVERT(1,"kg","lbm")/CONVERT(1,"m","in")^3</f>
        <v>0.28299999999999997</v>
      </c>
      <c r="I22">
        <f>'Rotor model (SI)'!K22*1000000000*CONVERT(1,"N","lbf")/CONVERT(1,"m","in")^2</f>
        <v>30000000</v>
      </c>
      <c r="J22">
        <f>'Rotor model (SI)'!L22</f>
        <v>0.3</v>
      </c>
      <c r="K22" s="7">
        <f t="shared" si="7"/>
        <v>1.5034501511639502</v>
      </c>
      <c r="L22" s="6">
        <f t="shared" si="8"/>
        <v>1.5034501511639502</v>
      </c>
      <c r="M22" s="6">
        <f t="shared" si="9"/>
        <v>1.1006006831595696</v>
      </c>
      <c r="N22" s="6">
        <f t="shared" si="10"/>
        <v>0.71743701557199224</v>
      </c>
      <c r="O22" s="106">
        <f>'Rotor model (SI)'!Q22*CONVERT(1,"kg","lbm")</f>
        <v>0</v>
      </c>
      <c r="P22" s="106">
        <f>'Rotor model (SI)'!R22*CONVERT(1,"kg","lbm")*CONVERT(1,"m","in")^2</f>
        <v>0</v>
      </c>
      <c r="Q22" s="106">
        <f>'Rotor model (SI)'!S22*CONVERT(1,"kg","lbm")*CONVERT(1,"m","in")^2</f>
        <v>0</v>
      </c>
      <c r="U22">
        <f>'Rotor model (SI)'!U22*CONVERT(1,"N","lbf")</f>
        <v>0</v>
      </c>
      <c r="V22">
        <f>'Rotor model (SI)'!V22</f>
        <v>0</v>
      </c>
      <c r="W22">
        <f>'Rotor model (SI)'!W22/25.4</f>
        <v>0</v>
      </c>
      <c r="X22">
        <f>'Rotor model (SI)'!X22</f>
        <v>0</v>
      </c>
      <c r="Y22">
        <f>'Rotor model (SI)'!Y22/25.4</f>
        <v>0</v>
      </c>
      <c r="Z22">
        <f>'Rotor model (SI)'!Z22</f>
        <v>0</v>
      </c>
      <c r="AA22">
        <f>'Rotor model (SI)'!AA22</f>
        <v>0</v>
      </c>
      <c r="AB22">
        <f>'Rotor model (SI)'!AB22</f>
        <v>0</v>
      </c>
      <c r="AC22" s="19">
        <f t="shared" si="11"/>
        <v>15.485999999999999</v>
      </c>
      <c r="AD22">
        <f t="shared" si="12"/>
        <v>1.5034501511639502</v>
      </c>
      <c r="AE22">
        <f t="shared" si="13"/>
        <v>23.282429040924931</v>
      </c>
      <c r="AF22">
        <f t="shared" si="14"/>
        <v>1.1006006831595696</v>
      </c>
      <c r="AG22">
        <f t="shared" si="15"/>
        <v>1.2188470375486145</v>
      </c>
      <c r="AH22">
        <f t="shared" si="16"/>
        <v>24.928408127282331</v>
      </c>
      <c r="AI22" s="8"/>
    </row>
    <row r="23" spans="1:36" x14ac:dyDescent="0.25">
      <c r="A23">
        <v>18</v>
      </c>
      <c r="C23">
        <f t="shared" si="17"/>
        <v>1.155</v>
      </c>
      <c r="D23">
        <v>2.42</v>
      </c>
      <c r="E23">
        <v>2.42</v>
      </c>
      <c r="F23">
        <f>'Rotor model (SI)'!H23/25.4</f>
        <v>0</v>
      </c>
      <c r="G23">
        <f>'Rotor model (SI)'!I23/25.4</f>
        <v>0</v>
      </c>
      <c r="H23">
        <f>'Rotor model (SI)'!J23*CONVERT(1,"kg","lbm")/CONVERT(1,"m","in")^3</f>
        <v>0.28299999999999997</v>
      </c>
      <c r="I23">
        <f>'Rotor model (SI)'!K23*1000000000*CONVERT(1,"N","lbf")/CONVERT(1,"m","in")^2</f>
        <v>30000000</v>
      </c>
      <c r="J23">
        <f>'Rotor model (SI)'!L23</f>
        <v>0.3</v>
      </c>
      <c r="K23" s="7">
        <f t="shared" si="7"/>
        <v>1.5034501511639502</v>
      </c>
      <c r="L23" s="6">
        <f t="shared" si="8"/>
        <v>1.5034501511639502</v>
      </c>
      <c r="M23" s="6">
        <f t="shared" si="9"/>
        <v>1.1006006831595696</v>
      </c>
      <c r="N23" s="6">
        <f t="shared" si="10"/>
        <v>0.71743701557199224</v>
      </c>
      <c r="O23" s="106">
        <f>'Rotor model (SI)'!Q23*CONVERT(1,"kg","lbm")</f>
        <v>0</v>
      </c>
      <c r="P23" s="106">
        <f>'Rotor model (SI)'!R23*CONVERT(1,"kg","lbm")*CONVERT(1,"m","in")^2</f>
        <v>0</v>
      </c>
      <c r="Q23" s="106">
        <f>'Rotor model (SI)'!S23*CONVERT(1,"kg","lbm")*CONVERT(1,"m","in")^2</f>
        <v>0</v>
      </c>
      <c r="U23">
        <f>'Rotor model (SI)'!U23*CONVERT(1,"N","lbf")</f>
        <v>0</v>
      </c>
      <c r="V23">
        <f>'Rotor model (SI)'!V23</f>
        <v>0</v>
      </c>
      <c r="W23">
        <f>'Rotor model (SI)'!W23/25.4</f>
        <v>0</v>
      </c>
      <c r="X23">
        <f>'Rotor model (SI)'!X23</f>
        <v>0</v>
      </c>
      <c r="Y23">
        <f>'Rotor model (SI)'!Y23/25.4</f>
        <v>0</v>
      </c>
      <c r="Z23">
        <f>'Rotor model (SI)'!Z23</f>
        <v>0</v>
      </c>
      <c r="AA23">
        <f>'Rotor model (SI)'!AA23</f>
        <v>0</v>
      </c>
      <c r="AB23">
        <f>'Rotor model (SI)'!AB23</f>
        <v>0</v>
      </c>
      <c r="AC23" s="19">
        <f t="shared" si="11"/>
        <v>16.640999999999998</v>
      </c>
      <c r="AD23">
        <f t="shared" si="12"/>
        <v>1.5034501511639502</v>
      </c>
      <c r="AE23">
        <f t="shared" si="13"/>
        <v>25.018913965519292</v>
      </c>
      <c r="AF23">
        <f t="shared" si="14"/>
        <v>1.1006006831595696</v>
      </c>
      <c r="AG23">
        <f t="shared" si="15"/>
        <v>1.2188470375486145</v>
      </c>
      <c r="AH23">
        <f t="shared" si="16"/>
        <v>12.99726318724322</v>
      </c>
      <c r="AI23" s="8"/>
      <c r="AJ23" s="8"/>
    </row>
    <row r="24" spans="1:36" x14ac:dyDescent="0.25">
      <c r="A24">
        <v>19</v>
      </c>
      <c r="B24" s="8"/>
      <c r="C24">
        <f t="shared" si="17"/>
        <v>1.155</v>
      </c>
      <c r="D24">
        <v>2.42</v>
      </c>
      <c r="E24">
        <v>2.42</v>
      </c>
      <c r="F24">
        <f>'Rotor model (SI)'!H24/25.4</f>
        <v>0</v>
      </c>
      <c r="G24">
        <f>'Rotor model (SI)'!I24/25.4</f>
        <v>0</v>
      </c>
      <c r="H24">
        <f>'Rotor model (SI)'!J24*CONVERT(1,"kg","lbm")/CONVERT(1,"m","in")^3</f>
        <v>0.28299999999999997</v>
      </c>
      <c r="I24">
        <f>'Rotor model (SI)'!K24*1000000000*CONVERT(1,"N","lbf")/CONVERT(1,"m","in")^2</f>
        <v>30000000</v>
      </c>
      <c r="J24">
        <f>'Rotor model (SI)'!L24</f>
        <v>0.3</v>
      </c>
      <c r="K24" s="7">
        <f t="shared" si="7"/>
        <v>1.5034501511639502</v>
      </c>
      <c r="L24" s="6">
        <f t="shared" si="8"/>
        <v>1.5034501511639502</v>
      </c>
      <c r="M24" s="6">
        <f t="shared" si="9"/>
        <v>1.1006006831595696</v>
      </c>
      <c r="N24" s="6">
        <f t="shared" si="10"/>
        <v>0.71743701557199224</v>
      </c>
      <c r="O24" s="106">
        <f>'Rotor model (SI)'!Q24*CONVERT(1,"kg","lbm")</f>
        <v>0</v>
      </c>
      <c r="P24" s="106">
        <f>'Rotor model (SI)'!R24*CONVERT(1,"kg","lbm")*CONVERT(1,"m","in")^2</f>
        <v>0</v>
      </c>
      <c r="Q24" s="106">
        <f>'Rotor model (SI)'!S24*CONVERT(1,"kg","lbm")*CONVERT(1,"m","in")^2</f>
        <v>0</v>
      </c>
      <c r="U24">
        <f>'Rotor model (SI)'!U24*CONVERT(1,"N","lbf")</f>
        <v>0</v>
      </c>
      <c r="V24">
        <f>'Rotor model (SI)'!V24</f>
        <v>0</v>
      </c>
      <c r="W24">
        <f>'Rotor model (SI)'!W24/25.4</f>
        <v>0</v>
      </c>
      <c r="X24">
        <f>'Rotor model (SI)'!X24</f>
        <v>0</v>
      </c>
      <c r="Y24">
        <f>'Rotor model (SI)'!Y24/25.4</f>
        <v>0</v>
      </c>
      <c r="Z24">
        <f>'Rotor model (SI)'!Z24</f>
        <v>0</v>
      </c>
      <c r="AA24">
        <f>'Rotor model (SI)'!AA24</f>
        <v>0</v>
      </c>
      <c r="AB24">
        <f>'Rotor model (SI)'!AB24</f>
        <v>0</v>
      </c>
      <c r="AC24" s="19">
        <f t="shared" si="11"/>
        <v>17.795999999999999</v>
      </c>
      <c r="AD24">
        <f t="shared" si="12"/>
        <v>1.5034501511639502</v>
      </c>
      <c r="AE24">
        <f t="shared" si="13"/>
        <v>26.755398890113657</v>
      </c>
      <c r="AF24">
        <f t="shared" si="14"/>
        <v>1.1006006831595696</v>
      </c>
      <c r="AG24">
        <f t="shared" si="15"/>
        <v>1.2188470375486145</v>
      </c>
      <c r="AH24">
        <f t="shared" si="16"/>
        <v>5.0773984230170752</v>
      </c>
    </row>
    <row r="25" spans="1:36" x14ac:dyDescent="0.25">
      <c r="A25">
        <v>20</v>
      </c>
      <c r="C25">
        <f>0.38-0.182+0.188</f>
        <v>0.38600000000000001</v>
      </c>
      <c r="D25">
        <v>2.42</v>
      </c>
      <c r="E25">
        <v>2.42</v>
      </c>
      <c r="F25">
        <f>'Rotor model (SI)'!H25/25.4</f>
        <v>0</v>
      </c>
      <c r="G25">
        <f>'Rotor model (SI)'!I25/25.4</f>
        <v>0</v>
      </c>
      <c r="H25">
        <f>'Rotor model (SI)'!J25*CONVERT(1,"kg","lbm")/CONVERT(1,"m","in")^3</f>
        <v>0.28299999999999997</v>
      </c>
      <c r="I25">
        <f>'Rotor model (SI)'!K25*1000000000*CONVERT(1,"N","lbf")/CONVERT(1,"m","in")^2</f>
        <v>30000000</v>
      </c>
      <c r="J25">
        <f>'Rotor model (SI)'!L25</f>
        <v>0.3</v>
      </c>
      <c r="K25" s="7">
        <f t="shared" si="7"/>
        <v>0.50245173883054961</v>
      </c>
      <c r="L25" s="6">
        <f t="shared" si="8"/>
        <v>0.50245173883054961</v>
      </c>
      <c r="M25" s="6">
        <f t="shared" si="9"/>
        <v>0.36781979541090382</v>
      </c>
      <c r="N25" s="6">
        <f t="shared" si="10"/>
        <v>0.19014850597868496</v>
      </c>
      <c r="O25" s="106">
        <f>'Rotor model (SI)'!Q25*CONVERT(1,"kg","lbm")</f>
        <v>0</v>
      </c>
      <c r="P25" s="106">
        <f>'Rotor model (SI)'!R25*CONVERT(1,"kg","lbm")*CONVERT(1,"m","in")^2</f>
        <v>0</v>
      </c>
      <c r="Q25" s="106">
        <f>'Rotor model (SI)'!S25*CONVERT(1,"kg","lbm")*CONVERT(1,"m","in")^2</f>
        <v>0</v>
      </c>
      <c r="U25">
        <f>'Rotor model (SI)'!U25*CONVERT(1,"N","lbf")</f>
        <v>0</v>
      </c>
      <c r="V25">
        <f>'Rotor model (SI)'!V25</f>
        <v>0</v>
      </c>
      <c r="W25">
        <f>'Rotor model (SI)'!W25/25.4</f>
        <v>0</v>
      </c>
      <c r="X25">
        <f>'Rotor model (SI)'!X25</f>
        <v>0</v>
      </c>
      <c r="Y25">
        <f>'Rotor model (SI)'!Y25/25.4</f>
        <v>0</v>
      </c>
      <c r="Z25">
        <f>'Rotor model (SI)'!Z25</f>
        <v>0</v>
      </c>
      <c r="AA25">
        <f>'Rotor model (SI)'!AA25</f>
        <v>0</v>
      </c>
      <c r="AB25">
        <f>'Rotor model (SI)'!AB25</f>
        <v>0</v>
      </c>
      <c r="AC25" s="19">
        <f t="shared" si="11"/>
        <v>18.951000000000001</v>
      </c>
      <c r="AD25">
        <f t="shared" si="12"/>
        <v>1.00295094499725</v>
      </c>
      <c r="AE25">
        <f t="shared" si="13"/>
        <v>19.006923358642887</v>
      </c>
      <c r="AF25">
        <f t="shared" si="14"/>
        <v>0.73421023928523677</v>
      </c>
      <c r="AG25">
        <f t="shared" si="15"/>
        <v>0.71385568417349932</v>
      </c>
      <c r="AH25">
        <f t="shared" si="16"/>
        <v>0.62699299854425117</v>
      </c>
    </row>
    <row r="26" spans="1:36" x14ac:dyDescent="0.25">
      <c r="A26">
        <v>21</v>
      </c>
      <c r="B26" s="8"/>
      <c r="C26" s="6">
        <f>(1.913-0.188)/2</f>
        <v>0.86250000000000004</v>
      </c>
      <c r="D26" s="97">
        <v>2.56</v>
      </c>
      <c r="E26" s="6">
        <f>CONVERT(91.269,"mm","in")</f>
        <v>3.5932677165354332</v>
      </c>
      <c r="F26">
        <f>'Rotor model (SI)'!H26/25.4</f>
        <v>0</v>
      </c>
      <c r="G26">
        <f>'Rotor model (SI)'!I26/25.4</f>
        <v>0</v>
      </c>
      <c r="H26">
        <f>'Rotor model (SI)'!J26*CONVERT(1,"kg","lbm")/CONVERT(1,"m","in")^3</f>
        <v>0.28299999999999997</v>
      </c>
      <c r="I26">
        <f>'Rotor model (SI)'!K26*1000000000*CONVERT(1,"N","lbf")/CONVERT(1,"m","in")^2</f>
        <v>30000000</v>
      </c>
      <c r="J26">
        <f>'Rotor model (SI)'!L26</f>
        <v>0.3</v>
      </c>
      <c r="K26" s="7">
        <f t="shared" si="7"/>
        <v>2.475224366881045</v>
      </c>
      <c r="L26" s="6">
        <f t="shared" si="8"/>
        <v>2.475224366881045</v>
      </c>
      <c r="M26" s="6">
        <f t="shared" si="9"/>
        <v>3.9948799767511374</v>
      </c>
      <c r="N26" s="6">
        <f t="shared" si="10"/>
        <v>2.1508845614318273</v>
      </c>
      <c r="O26" s="36">
        <v>0.1</v>
      </c>
      <c r="P26" s="106">
        <f>'Rotor model (SI)'!R26*CONVERT(1,"kg","lbm")*CONVERT(1,"m","in")^2</f>
        <v>0</v>
      </c>
      <c r="Q26" s="106">
        <f>'Rotor model (SI)'!S26*CONVERT(1,"kg","lbm")*CONVERT(1,"m","in")^2</f>
        <v>0</v>
      </c>
      <c r="U26">
        <f>'Rotor model (SI)'!U26*CONVERT(1,"N","lbf")</f>
        <v>0</v>
      </c>
      <c r="V26">
        <f>'Rotor model (SI)'!V26</f>
        <v>0</v>
      </c>
      <c r="W26">
        <f>'Rotor model (SI)'!W26/25.4</f>
        <v>0</v>
      </c>
      <c r="X26">
        <f>'Rotor model (SI)'!X26</f>
        <v>0</v>
      </c>
      <c r="Y26">
        <f>'Rotor model (SI)'!Y26/25.4</f>
        <v>0</v>
      </c>
      <c r="Z26">
        <f>'Rotor model (SI)'!Z26</f>
        <v>0</v>
      </c>
      <c r="AA26">
        <f>'Rotor model (SI)'!AA26</f>
        <v>0</v>
      </c>
      <c r="AB26">
        <f>'Rotor model (SI)'!AB26</f>
        <v>0</v>
      </c>
      <c r="AC26" s="19">
        <f t="shared" si="11"/>
        <v>19.337</v>
      </c>
      <c r="AD26">
        <f t="shared" si="12"/>
        <v>1.5888380528557975</v>
      </c>
      <c r="AE26">
        <f t="shared" si="13"/>
        <v>30.723361428072554</v>
      </c>
      <c r="AF26">
        <f t="shared" si="14"/>
        <v>2.1813498860810205</v>
      </c>
      <c r="AG26">
        <f t="shared" si="15"/>
        <v>1.4100413056994934</v>
      </c>
      <c r="AH26">
        <f t="shared" si="16"/>
        <v>2.4406445144811038</v>
      </c>
    </row>
    <row r="27" spans="1:36" x14ac:dyDescent="0.25">
      <c r="A27">
        <v>22</v>
      </c>
      <c r="B27" s="8" t="s">
        <v>251</v>
      </c>
      <c r="C27" s="6">
        <f>(1.913-0.188)/2</f>
        <v>0.86250000000000004</v>
      </c>
      <c r="D27" s="97">
        <f>D26</f>
        <v>2.56</v>
      </c>
      <c r="E27" s="6">
        <f>CONVERT(91.269,"mm","in")</f>
        <v>3.5932677165354332</v>
      </c>
      <c r="F27">
        <f>'Rotor model (SI)'!H27/25.4</f>
        <v>0</v>
      </c>
      <c r="G27">
        <f>'Rotor model (SI)'!I27/25.4</f>
        <v>0</v>
      </c>
      <c r="H27">
        <f>'Rotor model (SI)'!J27*CONVERT(1,"kg","lbm")/CONVERT(1,"m","in")^3</f>
        <v>0.28299999999999997</v>
      </c>
      <c r="I27">
        <f>'Rotor model (SI)'!K27*1000000000*CONVERT(1,"N","lbf")/CONVERT(1,"m","in")^2</f>
        <v>30000000</v>
      </c>
      <c r="J27">
        <f>'Rotor model (SI)'!L27</f>
        <v>0.3</v>
      </c>
      <c r="K27" s="7">
        <f t="shared" si="7"/>
        <v>2.475224366881045</v>
      </c>
      <c r="L27" s="6">
        <f t="shared" si="8"/>
        <v>2.475224366881045</v>
      </c>
      <c r="M27" s="6">
        <f t="shared" si="9"/>
        <v>3.9948799767511374</v>
      </c>
      <c r="N27" s="6">
        <f t="shared" si="10"/>
        <v>2.1508845614318273</v>
      </c>
      <c r="O27" s="106">
        <f>'Rotor model (SI)'!Q27*CONVERT(1,"kg","lbm")</f>
        <v>0</v>
      </c>
      <c r="P27" s="106">
        <f>'Rotor model (SI)'!R27*CONVERT(1,"kg","lbm")*CONVERT(1,"m","in")^2</f>
        <v>0</v>
      </c>
      <c r="Q27" s="106">
        <f>'Rotor model (SI)'!S27*CONVERT(1,"kg","lbm")*CONVERT(1,"m","in")^2</f>
        <v>0</v>
      </c>
      <c r="U27">
        <f>'Rotor model (SI)'!U27*CONVERT(1,"N","lbf")</f>
        <v>0</v>
      </c>
      <c r="V27">
        <f>'Rotor model (SI)'!V27</f>
        <v>0</v>
      </c>
      <c r="W27">
        <f>'Rotor model (SI)'!W27/25.4</f>
        <v>0</v>
      </c>
      <c r="X27">
        <f>'Rotor model (SI)'!X27</f>
        <v>0</v>
      </c>
      <c r="Y27">
        <f>'Rotor model (SI)'!Y27/25.4</f>
        <v>0</v>
      </c>
      <c r="Z27">
        <f>'Rotor model (SI)'!Z27</f>
        <v>0</v>
      </c>
      <c r="AA27">
        <f>'Rotor model (SI)'!AA27</f>
        <v>0</v>
      </c>
      <c r="AB27">
        <f>'Rotor model (SI)'!AB27</f>
        <v>0</v>
      </c>
      <c r="AC27" s="19">
        <f t="shared" si="11"/>
        <v>20.1995</v>
      </c>
      <c r="AD27">
        <f t="shared" si="12"/>
        <v>2.475224366881045</v>
      </c>
      <c r="AE27">
        <f t="shared" si="13"/>
        <v>49.998294598813672</v>
      </c>
      <c r="AF27">
        <f t="shared" si="14"/>
        <v>3.9948799767511374</v>
      </c>
      <c r="AG27">
        <f t="shared" si="15"/>
        <v>2.6112182806006028</v>
      </c>
      <c r="AH27">
        <f t="shared" si="16"/>
        <v>2.9114482886914885</v>
      </c>
    </row>
    <row r="28" spans="1:36" x14ac:dyDescent="0.25">
      <c r="A28">
        <v>23</v>
      </c>
      <c r="B28" s="8"/>
      <c r="C28">
        <f>1.25</f>
        <v>1.25</v>
      </c>
      <c r="D28">
        <f>2.58</f>
        <v>2.58</v>
      </c>
      <c r="E28">
        <v>2.58</v>
      </c>
      <c r="F28">
        <f>'Rotor model (SI)'!H28/25.4</f>
        <v>0</v>
      </c>
      <c r="G28">
        <f>'Rotor model (SI)'!I28/25.4</f>
        <v>0</v>
      </c>
      <c r="H28">
        <f>'Rotor model (SI)'!J28*CONVERT(1,"kg","lbm")/CONVERT(1,"m","in")^3</f>
        <v>0.28299999999999997</v>
      </c>
      <c r="I28">
        <f>'Rotor model (SI)'!K28*1000000000*CONVERT(1,"N","lbf")/CONVERT(1,"m","in")^2</f>
        <v>30000000</v>
      </c>
      <c r="J28">
        <f>'Rotor model (SI)'!L28</f>
        <v>0.3</v>
      </c>
      <c r="K28" s="7">
        <f t="shared" si="7"/>
        <v>1.8493782334492166</v>
      </c>
      <c r="L28" s="6">
        <f t="shared" si="8"/>
        <v>1.8493782334492166</v>
      </c>
      <c r="M28" s="6">
        <f t="shared" si="9"/>
        <v>1.5387751591414207</v>
      </c>
      <c r="N28" s="6">
        <f t="shared" si="10"/>
        <v>1.0101920370510771</v>
      </c>
      <c r="O28" s="106">
        <f>'Rotor model (SI)'!Q28*CONVERT(1,"kg","lbm")</f>
        <v>0</v>
      </c>
      <c r="P28" s="106">
        <f>'Rotor model (SI)'!R28*CONVERT(1,"kg","lbm")*CONVERT(1,"m","in")^2</f>
        <v>0</v>
      </c>
      <c r="Q28" s="106">
        <f>'Rotor model (SI)'!S28*CONVERT(1,"kg","lbm")*CONVERT(1,"m","in")^2</f>
        <v>0</v>
      </c>
      <c r="U28">
        <f>'Rotor model (SI)'!U28*CONVERT(1,"N","lbf")</f>
        <v>0</v>
      </c>
      <c r="V28">
        <f>'Rotor model (SI)'!V28</f>
        <v>0</v>
      </c>
      <c r="W28">
        <f>'Rotor model (SI)'!W28/25.4</f>
        <v>0</v>
      </c>
      <c r="X28">
        <f>'Rotor model (SI)'!X28</f>
        <v>0</v>
      </c>
      <c r="Y28">
        <f>'Rotor model (SI)'!Y28/25.4</f>
        <v>0</v>
      </c>
      <c r="Z28">
        <f>'Rotor model (SI)'!Z28</f>
        <v>0</v>
      </c>
      <c r="AA28">
        <f>'Rotor model (SI)'!AA28</f>
        <v>0</v>
      </c>
      <c r="AB28">
        <f>'Rotor model (SI)'!AB28</f>
        <v>0</v>
      </c>
      <c r="AC28" s="19">
        <f t="shared" si="11"/>
        <v>21.062000000000001</v>
      </c>
      <c r="AD28">
        <f t="shared" si="12"/>
        <v>2.1623013001651308</v>
      </c>
      <c r="AE28">
        <f t="shared" si="13"/>
        <v>45.542389984077985</v>
      </c>
      <c r="AF28">
        <f t="shared" si="14"/>
        <v>2.766827567946279</v>
      </c>
      <c r="AG28">
        <f t="shared" si="15"/>
        <v>2.1719118450463903</v>
      </c>
      <c r="AH28">
        <f t="shared" si="16"/>
        <v>5.8073600808763484</v>
      </c>
    </row>
    <row r="29" spans="1:36" x14ac:dyDescent="0.25">
      <c r="A29">
        <v>24</v>
      </c>
      <c r="B29" s="8"/>
      <c r="C29">
        <f t="shared" ref="C29:C31" si="18">1.25</f>
        <v>1.25</v>
      </c>
      <c r="D29">
        <f t="shared" ref="D29:D31" si="19">D28</f>
        <v>2.58</v>
      </c>
      <c r="E29">
        <v>2.58</v>
      </c>
      <c r="F29">
        <f>'Rotor model (SI)'!H29/25.4</f>
        <v>0</v>
      </c>
      <c r="G29">
        <f>'Rotor model (SI)'!I29/25.4</f>
        <v>0</v>
      </c>
      <c r="H29">
        <f>'Rotor model (SI)'!J29*CONVERT(1,"kg","lbm")/CONVERT(1,"m","in")^3</f>
        <v>0.28299999999999997</v>
      </c>
      <c r="I29">
        <f>'Rotor model (SI)'!K29*1000000000*CONVERT(1,"N","lbf")/CONVERT(1,"m","in")^2</f>
        <v>30000000</v>
      </c>
      <c r="J29">
        <f>'Rotor model (SI)'!L29</f>
        <v>0.3</v>
      </c>
      <c r="K29" s="7">
        <f t="shared" si="7"/>
        <v>1.8493782334492166</v>
      </c>
      <c r="L29" s="6">
        <f t="shared" si="8"/>
        <v>1.8493782334492166</v>
      </c>
      <c r="M29" s="6">
        <f t="shared" si="9"/>
        <v>1.5387751591414207</v>
      </c>
      <c r="N29" s="6">
        <f t="shared" si="10"/>
        <v>1.0101920370510771</v>
      </c>
      <c r="O29" s="106">
        <f>'Rotor model (SI)'!Q29*CONVERT(1,"kg","lbm")</f>
        <v>0</v>
      </c>
      <c r="P29" s="106">
        <f>'Rotor model (SI)'!R29*CONVERT(1,"kg","lbm")*CONVERT(1,"m","in")^2</f>
        <v>0</v>
      </c>
      <c r="Q29" s="106">
        <f>'Rotor model (SI)'!S29*CONVERT(1,"kg","lbm")*CONVERT(1,"m","in")^2</f>
        <v>0</v>
      </c>
      <c r="U29">
        <f>'Rotor model (SI)'!U29*CONVERT(1,"N","lbf")</f>
        <v>0</v>
      </c>
      <c r="V29">
        <f>'Rotor model (SI)'!V29</f>
        <v>0</v>
      </c>
      <c r="W29">
        <f>'Rotor model (SI)'!W29/25.4</f>
        <v>0</v>
      </c>
      <c r="X29">
        <f>'Rotor model (SI)'!X29</f>
        <v>0</v>
      </c>
      <c r="Y29">
        <f>'Rotor model (SI)'!Y29/25.4</f>
        <v>0</v>
      </c>
      <c r="Z29">
        <f>'Rotor model (SI)'!Z29</f>
        <v>0</v>
      </c>
      <c r="AA29">
        <f>'Rotor model (SI)'!AA29</f>
        <v>0</v>
      </c>
      <c r="AB29">
        <f>'Rotor model (SI)'!AB29</f>
        <v>0</v>
      </c>
      <c r="AC29" s="19">
        <f t="shared" si="11"/>
        <v>22.312000000000001</v>
      </c>
      <c r="AD29">
        <f t="shared" si="12"/>
        <v>1.8493782334492166</v>
      </c>
      <c r="AE29">
        <f t="shared" si="13"/>
        <v>41.263327144718922</v>
      </c>
      <c r="AF29">
        <f t="shared" si="14"/>
        <v>1.5387751591414207</v>
      </c>
      <c r="AG29">
        <f t="shared" si="15"/>
        <v>1.7326054094921772</v>
      </c>
      <c r="AH29">
        <f t="shared" si="16"/>
        <v>16.143396149806545</v>
      </c>
      <c r="AI29" s="8"/>
    </row>
    <row r="30" spans="1:36" x14ac:dyDescent="0.25">
      <c r="A30">
        <v>25</v>
      </c>
      <c r="C30">
        <f t="shared" si="18"/>
        <v>1.25</v>
      </c>
      <c r="D30">
        <f t="shared" si="19"/>
        <v>2.58</v>
      </c>
      <c r="E30">
        <v>2.58</v>
      </c>
      <c r="F30">
        <f>'Rotor model (SI)'!H30/25.4</f>
        <v>0</v>
      </c>
      <c r="G30">
        <f>'Rotor model (SI)'!I30/25.4</f>
        <v>0</v>
      </c>
      <c r="H30">
        <f>'Rotor model (SI)'!J30*CONVERT(1,"kg","lbm")/CONVERT(1,"m","in")^3</f>
        <v>0.28299999999999997</v>
      </c>
      <c r="I30">
        <f>'Rotor model (SI)'!K30*1000000000*CONVERT(1,"N","lbf")/CONVERT(1,"m","in")^2</f>
        <v>30000000</v>
      </c>
      <c r="J30">
        <f>'Rotor model (SI)'!L30</f>
        <v>0.3</v>
      </c>
      <c r="K30" s="7">
        <f t="shared" si="7"/>
        <v>1.8493782334492166</v>
      </c>
      <c r="L30" s="6">
        <f t="shared" si="8"/>
        <v>1.8493782334492166</v>
      </c>
      <c r="M30" s="6">
        <f t="shared" si="9"/>
        <v>1.5387751591414207</v>
      </c>
      <c r="N30" s="6">
        <f t="shared" si="10"/>
        <v>1.0101920370510771</v>
      </c>
      <c r="O30" s="106">
        <f>'Rotor model (SI)'!Q30*CONVERT(1,"kg","lbm")</f>
        <v>0</v>
      </c>
      <c r="P30" s="106">
        <f>'Rotor model (SI)'!R30*CONVERT(1,"kg","lbm")*CONVERT(1,"m","in")^2</f>
        <v>0</v>
      </c>
      <c r="Q30" s="106">
        <f>'Rotor model (SI)'!S30*CONVERT(1,"kg","lbm")*CONVERT(1,"m","in")^2</f>
        <v>0</v>
      </c>
      <c r="U30">
        <f>'Rotor model (SI)'!U30*CONVERT(1,"N","lbf")</f>
        <v>0</v>
      </c>
      <c r="V30">
        <f>'Rotor model (SI)'!V30</f>
        <v>0</v>
      </c>
      <c r="W30">
        <f>'Rotor model (SI)'!W30/25.4</f>
        <v>0</v>
      </c>
      <c r="X30">
        <f>'Rotor model (SI)'!X30</f>
        <v>0</v>
      </c>
      <c r="Y30">
        <f>'Rotor model (SI)'!Y30/25.4</f>
        <v>0</v>
      </c>
      <c r="Z30">
        <f>'Rotor model (SI)'!Z30</f>
        <v>0</v>
      </c>
      <c r="AA30">
        <f>'Rotor model (SI)'!AA30</f>
        <v>0</v>
      </c>
      <c r="AB30">
        <f>'Rotor model (SI)'!AB30</f>
        <v>0</v>
      </c>
      <c r="AC30" s="19">
        <f t="shared" si="11"/>
        <v>23.562000000000001</v>
      </c>
      <c r="AD30">
        <f t="shared" si="12"/>
        <v>1.8493782334492166</v>
      </c>
      <c r="AE30">
        <f t="shared" si="13"/>
        <v>43.575049936530441</v>
      </c>
      <c r="AF30">
        <f t="shared" si="14"/>
        <v>1.5387751591414207</v>
      </c>
      <c r="AG30">
        <f t="shared" si="15"/>
        <v>1.7326054094921772</v>
      </c>
      <c r="AH30">
        <f t="shared" si="16"/>
        <v>32.258739198265545</v>
      </c>
      <c r="AI30" s="8"/>
      <c r="AJ30" s="8"/>
    </row>
    <row r="31" spans="1:36" x14ac:dyDescent="0.25">
      <c r="A31">
        <v>26</v>
      </c>
      <c r="C31">
        <f t="shared" si="18"/>
        <v>1.25</v>
      </c>
      <c r="D31">
        <f t="shared" si="19"/>
        <v>2.58</v>
      </c>
      <c r="E31">
        <v>2.58</v>
      </c>
      <c r="F31">
        <f>'Rotor model (SI)'!H31/25.4</f>
        <v>0</v>
      </c>
      <c r="G31">
        <f>'Rotor model (SI)'!I31/25.4</f>
        <v>0</v>
      </c>
      <c r="H31">
        <f>'Rotor model (SI)'!J31*CONVERT(1,"kg","lbm")/CONVERT(1,"m","in")^3</f>
        <v>0.28299999999999997</v>
      </c>
      <c r="I31">
        <f>'Rotor model (SI)'!K31*1000000000*CONVERT(1,"N","lbf")/CONVERT(1,"m","in")^2</f>
        <v>30000000</v>
      </c>
      <c r="J31">
        <f>'Rotor model (SI)'!L31</f>
        <v>0.3</v>
      </c>
      <c r="K31" s="7">
        <f t="shared" si="7"/>
        <v>1.8493782334492166</v>
      </c>
      <c r="L31" s="6">
        <f t="shared" si="8"/>
        <v>1.8493782334492166</v>
      </c>
      <c r="M31" s="6">
        <f t="shared" si="9"/>
        <v>1.5387751591414207</v>
      </c>
      <c r="N31" s="6">
        <f t="shared" si="10"/>
        <v>1.0101920370510771</v>
      </c>
      <c r="O31" s="106">
        <f>'Rotor model (SI)'!Q31*CONVERT(1,"kg","lbm")</f>
        <v>0</v>
      </c>
      <c r="P31" s="106">
        <f>'Rotor model (SI)'!R31*CONVERT(1,"kg","lbm")*CONVERT(1,"m","in")^2</f>
        <v>0</v>
      </c>
      <c r="Q31" s="106">
        <f>'Rotor model (SI)'!S31*CONVERT(1,"kg","lbm")*CONVERT(1,"m","in")^2</f>
        <v>0</v>
      </c>
      <c r="U31">
        <f>'Rotor model (SI)'!U31*CONVERT(1,"N","lbf")</f>
        <v>0</v>
      </c>
      <c r="V31">
        <f>'Rotor model (SI)'!V31</f>
        <v>0</v>
      </c>
      <c r="W31">
        <f>'Rotor model (SI)'!W31/25.4</f>
        <v>0</v>
      </c>
      <c r="X31">
        <f>'Rotor model (SI)'!X31</f>
        <v>0</v>
      </c>
      <c r="Y31">
        <f>'Rotor model (SI)'!Y31/25.4</f>
        <v>0</v>
      </c>
      <c r="Z31">
        <f>'Rotor model (SI)'!Z31</f>
        <v>0</v>
      </c>
      <c r="AA31">
        <f>'Rotor model (SI)'!AA31</f>
        <v>0</v>
      </c>
      <c r="AB31">
        <f>'Rotor model (SI)'!AB31</f>
        <v>0</v>
      </c>
      <c r="AC31" s="19">
        <f t="shared" si="11"/>
        <v>24.812000000000001</v>
      </c>
      <c r="AD31">
        <f t="shared" si="12"/>
        <v>1.8493782334492166</v>
      </c>
      <c r="AE31">
        <f t="shared" si="13"/>
        <v>45.886772728341967</v>
      </c>
      <c r="AF31">
        <f t="shared" si="14"/>
        <v>1.5387751591414207</v>
      </c>
      <c r="AG31">
        <f t="shared" si="15"/>
        <v>1.7326054094921772</v>
      </c>
      <c r="AH31">
        <f t="shared" si="16"/>
        <v>54.153389226253346</v>
      </c>
    </row>
    <row r="32" spans="1:36" x14ac:dyDescent="0.25">
      <c r="A32">
        <v>27</v>
      </c>
      <c r="B32" s="8"/>
      <c r="C32">
        <v>1</v>
      </c>
      <c r="D32" s="97">
        <v>3.35</v>
      </c>
      <c r="E32" s="6">
        <f>CONVERT(90,"mm","in")</f>
        <v>3.5433070866141736</v>
      </c>
      <c r="F32">
        <f>'Rotor model (SI)'!H32/25.4</f>
        <v>0</v>
      </c>
      <c r="G32">
        <f>'Rotor model (SI)'!I32/25.4</f>
        <v>0</v>
      </c>
      <c r="H32">
        <f>'Rotor model (SI)'!J32*CONVERT(1,"kg","lbm")/CONVERT(1,"m","in")^3</f>
        <v>0.28299999999999997</v>
      </c>
      <c r="I32">
        <f>'Rotor model (SI)'!K32*1000000000*CONVERT(1,"N","lbf")/CONVERT(1,"m","in")^2</f>
        <v>30000000</v>
      </c>
      <c r="J32">
        <f>'Rotor model (SI)'!L32</f>
        <v>0.3</v>
      </c>
      <c r="K32" s="7">
        <f t="shared" si="7"/>
        <v>2.7905763065843678</v>
      </c>
      <c r="L32" s="6">
        <f t="shared" si="8"/>
        <v>2.7905763065843678</v>
      </c>
      <c r="M32" s="6">
        <f t="shared" si="9"/>
        <v>4.3794694500847431</v>
      </c>
      <c r="N32" s="6">
        <f t="shared" si="10"/>
        <v>2.4222827505910689</v>
      </c>
      <c r="O32" s="106">
        <f>'Rotor model (SI)'!Q32*CONVERT(1,"kg","lbm")</f>
        <v>0</v>
      </c>
      <c r="P32" s="106">
        <f>'Rotor model (SI)'!R32*CONVERT(1,"kg","lbm")*CONVERT(1,"m","in")^2</f>
        <v>0</v>
      </c>
      <c r="Q32" s="106">
        <f>'Rotor model (SI)'!S32*CONVERT(1,"kg","lbm")*CONVERT(1,"m","in")^2</f>
        <v>0</v>
      </c>
      <c r="U32">
        <f>'Rotor model (SI)'!U32*CONVERT(1,"N","lbf")</f>
        <v>0</v>
      </c>
      <c r="V32">
        <f>'Rotor model (SI)'!V32</f>
        <v>0</v>
      </c>
      <c r="W32">
        <f>'Rotor model (SI)'!W32/25.4</f>
        <v>0</v>
      </c>
      <c r="X32">
        <f>'Rotor model (SI)'!X32</f>
        <v>0</v>
      </c>
      <c r="Y32">
        <f>'Rotor model (SI)'!Y32/25.4</f>
        <v>0</v>
      </c>
      <c r="Z32">
        <f>'Rotor model (SI)'!Z32</f>
        <v>0</v>
      </c>
      <c r="AA32">
        <f>'Rotor model (SI)'!AA32</f>
        <v>0</v>
      </c>
      <c r="AB32">
        <f>'Rotor model (SI)'!AB32</f>
        <v>0</v>
      </c>
      <c r="AC32" s="19">
        <f t="shared" si="11"/>
        <v>26.062000000000001</v>
      </c>
      <c r="AD32">
        <f t="shared" si="12"/>
        <v>2.3199772700167922</v>
      </c>
      <c r="AE32">
        <f t="shared" si="13"/>
        <v>60.463247611177643</v>
      </c>
      <c r="AF32">
        <f t="shared" si="14"/>
        <v>2.9591223046130821</v>
      </c>
      <c r="AG32">
        <f t="shared" si="15"/>
        <v>2.4262661183646692</v>
      </c>
      <c r="AH32">
        <f t="shared" si="16"/>
        <v>119.80122719613202</v>
      </c>
    </row>
    <row r="33" spans="1:35" x14ac:dyDescent="0.25">
      <c r="A33">
        <v>28</v>
      </c>
      <c r="B33" s="8"/>
      <c r="C33">
        <v>1</v>
      </c>
      <c r="D33" s="97">
        <f>3.4</f>
        <v>3.4</v>
      </c>
      <c r="E33" s="6">
        <f>CONVERT(90,"mm","in")</f>
        <v>3.5433070866141736</v>
      </c>
      <c r="F33">
        <f>'Rotor model (SI)'!H33/25.4</f>
        <v>0</v>
      </c>
      <c r="G33">
        <f>'Rotor model (SI)'!I33/25.4</f>
        <v>0</v>
      </c>
      <c r="H33">
        <f>'Rotor model (SI)'!J33*CONVERT(1,"kg","lbm")/CONVERT(1,"m","in")^3</f>
        <v>0.28299999999999997</v>
      </c>
      <c r="I33">
        <f>'Rotor model (SI)'!K33*1000000000*CONVERT(1,"N","lbf")/CONVERT(1,"m","in")^2</f>
        <v>30000000</v>
      </c>
      <c r="J33">
        <f>'Rotor model (SI)'!L33</f>
        <v>0.3</v>
      </c>
      <c r="K33" s="7">
        <f t="shared" si="7"/>
        <v>2.7905763065843678</v>
      </c>
      <c r="L33" s="6">
        <f t="shared" si="8"/>
        <v>2.7905763065843678</v>
      </c>
      <c r="M33" s="6">
        <f t="shared" si="9"/>
        <v>4.3794694500847431</v>
      </c>
      <c r="N33" s="6">
        <f t="shared" si="10"/>
        <v>2.4222827505910689</v>
      </c>
      <c r="O33" s="106">
        <f>'Rotor model (SI)'!Q33*CONVERT(1,"kg","lbm")</f>
        <v>0</v>
      </c>
      <c r="P33" s="106">
        <f>'Rotor model (SI)'!R33*CONVERT(1,"kg","lbm")*CONVERT(1,"m","in")^2</f>
        <v>0</v>
      </c>
      <c r="Q33" s="106">
        <f>'Rotor model (SI)'!S33*CONVERT(1,"kg","lbm")*CONVERT(1,"m","in")^2</f>
        <v>0</v>
      </c>
      <c r="U33">
        <f>'Rotor model (SI)'!U33*CONVERT(1,"N","lbf")</f>
        <v>0</v>
      </c>
      <c r="V33">
        <f>'Rotor model (SI)'!V33</f>
        <v>0</v>
      </c>
      <c r="W33">
        <f>'Rotor model (SI)'!W33/25.4</f>
        <v>0</v>
      </c>
      <c r="X33">
        <f>'Rotor model (SI)'!X33</f>
        <v>0</v>
      </c>
      <c r="Y33">
        <f>'Rotor model (SI)'!Y33/25.4</f>
        <v>0</v>
      </c>
      <c r="Z33">
        <f>'Rotor model (SI)'!Z33</f>
        <v>0</v>
      </c>
      <c r="AA33">
        <f>'Rotor model (SI)'!AA33</f>
        <v>0</v>
      </c>
      <c r="AB33">
        <f>'Rotor model (SI)'!AB33</f>
        <v>0</v>
      </c>
      <c r="AC33" s="19">
        <f t="shared" si="11"/>
        <v>27.062000000000001</v>
      </c>
      <c r="AD33">
        <f t="shared" si="12"/>
        <v>2.7905763065843678</v>
      </c>
      <c r="AE33">
        <f t="shared" si="13"/>
        <v>75.518576008786169</v>
      </c>
      <c r="AF33">
        <f t="shared" si="14"/>
        <v>4.3794694500847431</v>
      </c>
      <c r="AG33">
        <f t="shared" si="15"/>
        <v>3.1199268272371605</v>
      </c>
      <c r="AH33">
        <f t="shared" si="16"/>
        <v>158.78875924551937</v>
      </c>
    </row>
    <row r="34" spans="1:35" x14ac:dyDescent="0.25">
      <c r="A34">
        <v>29</v>
      </c>
      <c r="B34" s="8" t="s">
        <v>250</v>
      </c>
      <c r="C34">
        <v>1</v>
      </c>
      <c r="D34" s="97">
        <f>D33</f>
        <v>3.4</v>
      </c>
      <c r="E34" s="6">
        <f t="shared" ref="E34:E35" si="20">CONVERT(90,"mm","in")</f>
        <v>3.5433070866141736</v>
      </c>
      <c r="F34">
        <f>'Rotor model (SI)'!H34/25.4</f>
        <v>0</v>
      </c>
      <c r="G34">
        <f>'Rotor model (SI)'!I34/25.4</f>
        <v>0</v>
      </c>
      <c r="H34">
        <f>'Rotor model (SI)'!J34*CONVERT(1,"kg","lbm")/CONVERT(1,"m","in")^3</f>
        <v>0.28299999999999997</v>
      </c>
      <c r="I34">
        <f>'Rotor model (SI)'!K34*1000000000*CONVERT(1,"N","lbf")/CONVERT(1,"m","in")^2</f>
        <v>30000000</v>
      </c>
      <c r="J34">
        <f>'Rotor model (SI)'!L34</f>
        <v>0.3</v>
      </c>
      <c r="K34" s="7">
        <f t="shared" si="7"/>
        <v>2.7905763065843678</v>
      </c>
      <c r="L34" s="6">
        <f t="shared" si="8"/>
        <v>2.7905763065843678</v>
      </c>
      <c r="M34" s="6">
        <f t="shared" si="9"/>
        <v>4.3794694500847431</v>
      </c>
      <c r="N34" s="6">
        <f t="shared" si="10"/>
        <v>2.4222827505910689</v>
      </c>
      <c r="O34" s="106">
        <f>'Rotor model (SI)'!Q34*CONVERT(1,"kg","lbm")</f>
        <v>0</v>
      </c>
      <c r="P34" s="106">
        <f>'Rotor model (SI)'!R34*CONVERT(1,"kg","lbm")*CONVERT(1,"m","in")^2</f>
        <v>0</v>
      </c>
      <c r="Q34" s="106">
        <f>'Rotor model (SI)'!S34*CONVERT(1,"kg","lbm")*CONVERT(1,"m","in")^2</f>
        <v>0</v>
      </c>
      <c r="U34">
        <f>'Rotor model (SI)'!U34*CONVERT(1,"N","lbf")</f>
        <v>0</v>
      </c>
      <c r="V34">
        <f>'Rotor model (SI)'!V34</f>
        <v>0</v>
      </c>
      <c r="W34">
        <f>'Rotor model (SI)'!W34/25.4</f>
        <v>0</v>
      </c>
      <c r="X34">
        <f>'Rotor model (SI)'!X34</f>
        <v>0</v>
      </c>
      <c r="Y34">
        <f>'Rotor model (SI)'!Y34/25.4</f>
        <v>0</v>
      </c>
      <c r="Z34">
        <f>'Rotor model (SI)'!Z34</f>
        <v>0</v>
      </c>
      <c r="AA34">
        <f>'Rotor model (SI)'!AA34</f>
        <v>0</v>
      </c>
      <c r="AB34">
        <f>'Rotor model (SI)'!AB34</f>
        <v>0</v>
      </c>
      <c r="AC34" s="19">
        <f t="shared" si="11"/>
        <v>28.062000000000001</v>
      </c>
      <c r="AD34">
        <f t="shared" si="12"/>
        <v>2.7905763065843678</v>
      </c>
      <c r="AE34">
        <f t="shared" si="13"/>
        <v>78.30915231537054</v>
      </c>
      <c r="AF34">
        <f t="shared" si="14"/>
        <v>4.3794694500847431</v>
      </c>
      <c r="AG34">
        <f t="shared" si="15"/>
        <v>3.1199268272371605</v>
      </c>
      <c r="AH34">
        <f t="shared" si="16"/>
        <v>203.35744390807545</v>
      </c>
    </row>
    <row r="35" spans="1:35" x14ac:dyDescent="0.25">
      <c r="A35">
        <v>30</v>
      </c>
      <c r="B35" s="8"/>
      <c r="C35">
        <v>1</v>
      </c>
      <c r="D35" s="97">
        <f>D32</f>
        <v>3.35</v>
      </c>
      <c r="E35" s="6">
        <f t="shared" si="20"/>
        <v>3.5433070866141736</v>
      </c>
      <c r="F35">
        <f>'Rotor model (SI)'!H35/25.4</f>
        <v>0</v>
      </c>
      <c r="G35">
        <f>'Rotor model (SI)'!I35/25.4</f>
        <v>0</v>
      </c>
      <c r="H35">
        <f>'Rotor model (SI)'!J35*CONVERT(1,"kg","lbm")/CONVERT(1,"m","in")^3</f>
        <v>0.28299999999999997</v>
      </c>
      <c r="I35">
        <f>'Rotor model (SI)'!K35*1000000000*CONVERT(1,"N","lbf")/CONVERT(1,"m","in")^2</f>
        <v>30000000</v>
      </c>
      <c r="J35">
        <f>'Rotor model (SI)'!L35</f>
        <v>0.3</v>
      </c>
      <c r="K35" s="7">
        <f t="shared" si="7"/>
        <v>2.7905763065843678</v>
      </c>
      <c r="L35" s="6">
        <f t="shared" si="8"/>
        <v>2.7905763065843678</v>
      </c>
      <c r="M35" s="6">
        <f t="shared" si="9"/>
        <v>4.3794694500847431</v>
      </c>
      <c r="N35" s="6">
        <f t="shared" si="10"/>
        <v>2.4222827505910689</v>
      </c>
      <c r="O35" s="106">
        <f>'Rotor model (SI)'!Q35*CONVERT(1,"kg","lbm")</f>
        <v>0</v>
      </c>
      <c r="P35" s="106">
        <f>'Rotor model (SI)'!R35*CONVERT(1,"kg","lbm")*CONVERT(1,"m","in")^2</f>
        <v>0</v>
      </c>
      <c r="Q35" s="106">
        <f>'Rotor model (SI)'!S35*CONVERT(1,"kg","lbm")*CONVERT(1,"m","in")^2</f>
        <v>0</v>
      </c>
      <c r="U35">
        <f>'Rotor model (SI)'!U35*CONVERT(1,"N","lbf")</f>
        <v>0</v>
      </c>
      <c r="V35">
        <f>'Rotor model (SI)'!V35</f>
        <v>0</v>
      </c>
      <c r="W35">
        <f>'Rotor model (SI)'!W35/25.4</f>
        <v>0</v>
      </c>
      <c r="X35">
        <f>'Rotor model (SI)'!X35</f>
        <v>0</v>
      </c>
      <c r="Y35">
        <f>'Rotor model (SI)'!Y35/25.4</f>
        <v>0</v>
      </c>
      <c r="Z35">
        <f>'Rotor model (SI)'!Z35</f>
        <v>0</v>
      </c>
      <c r="AA35">
        <f>'Rotor model (SI)'!AA35</f>
        <v>0</v>
      </c>
      <c r="AB35">
        <f>'Rotor model (SI)'!AB35</f>
        <v>0</v>
      </c>
      <c r="AC35" s="19">
        <f t="shared" si="11"/>
        <v>29.062000000000001</v>
      </c>
      <c r="AD35">
        <f t="shared" si="12"/>
        <v>2.7905763065843678</v>
      </c>
      <c r="AE35">
        <f t="shared" si="13"/>
        <v>81.099728621954895</v>
      </c>
      <c r="AF35">
        <f t="shared" si="14"/>
        <v>4.3794694500847431</v>
      </c>
      <c r="AG35">
        <f t="shared" si="15"/>
        <v>3.1199268272371605</v>
      </c>
      <c r="AH35">
        <f t="shared" si="16"/>
        <v>253.50728118380027</v>
      </c>
    </row>
    <row r="36" spans="1:35" x14ac:dyDescent="0.25">
      <c r="A36">
        <v>31</v>
      </c>
      <c r="B36" s="8"/>
      <c r="C36">
        <f>1.565-0.41</f>
        <v>1.155</v>
      </c>
      <c r="D36">
        <v>2.34</v>
      </c>
      <c r="E36">
        <v>2.34</v>
      </c>
      <c r="F36">
        <f>'Rotor model (SI)'!H36/25.4</f>
        <v>0</v>
      </c>
      <c r="G36">
        <f>'Rotor model (SI)'!I36/25.4</f>
        <v>0</v>
      </c>
      <c r="H36">
        <f>'Rotor model (SI)'!J36*CONVERT(1,"kg","lbm")/CONVERT(1,"m","in")^3</f>
        <v>0.28299999999999997</v>
      </c>
      <c r="I36">
        <f>'Rotor model (SI)'!K36*1000000000*CONVERT(1,"N","lbf")/CONVERT(1,"m","in")^2</f>
        <v>30000000</v>
      </c>
      <c r="J36">
        <f>'Rotor model (SI)'!L36</f>
        <v>0.3</v>
      </c>
      <c r="K36" s="7">
        <f t="shared" si="7"/>
        <v>1.4056914909694225</v>
      </c>
      <c r="L36" s="6">
        <f t="shared" si="8"/>
        <v>1.4056914909694225</v>
      </c>
      <c r="M36" s="6">
        <f t="shared" si="9"/>
        <v>0.96212554099402103</v>
      </c>
      <c r="N36" s="6">
        <f t="shared" si="10"/>
        <v>0.63733173643371743</v>
      </c>
      <c r="O36" s="106">
        <f>'Rotor model (SI)'!Q36*CONVERT(1,"kg","lbm")</f>
        <v>0</v>
      </c>
      <c r="P36" s="106">
        <f>'Rotor model (SI)'!R36*CONVERT(1,"kg","lbm")*CONVERT(1,"m","in")^2</f>
        <v>0</v>
      </c>
      <c r="Q36" s="106">
        <f>'Rotor model (SI)'!S36*CONVERT(1,"kg","lbm")*CONVERT(1,"m","in")^2</f>
        <v>0</v>
      </c>
      <c r="U36">
        <f>'Rotor model (SI)'!U36*CONVERT(1,"N","lbf")</f>
        <v>0</v>
      </c>
      <c r="V36">
        <f>'Rotor model (SI)'!V36</f>
        <v>0</v>
      </c>
      <c r="W36">
        <f>'Rotor model (SI)'!W36/25.4</f>
        <v>0</v>
      </c>
      <c r="X36">
        <f>'Rotor model (SI)'!X36</f>
        <v>0</v>
      </c>
      <c r="Y36">
        <f>'Rotor model (SI)'!Y36/25.4</f>
        <v>0</v>
      </c>
      <c r="Z36">
        <f>'Rotor model (SI)'!Z36</f>
        <v>0</v>
      </c>
      <c r="AA36">
        <f>'Rotor model (SI)'!AA36</f>
        <v>0</v>
      </c>
      <c r="AB36">
        <f>'Rotor model (SI)'!AB36</f>
        <v>0</v>
      </c>
      <c r="AC36" s="19">
        <f t="shared" si="11"/>
        <v>30.062000000000001</v>
      </c>
      <c r="AD36">
        <f t="shared" si="12"/>
        <v>2.0981338987768954</v>
      </c>
      <c r="AE36">
        <f t="shared" si="13"/>
        <v>63.074101265031032</v>
      </c>
      <c r="AF36">
        <f t="shared" si="14"/>
        <v>2.6707974955393823</v>
      </c>
      <c r="AG36">
        <f t="shared" si="15"/>
        <v>2.1130327307404997</v>
      </c>
      <c r="AH36">
        <f t="shared" si="16"/>
        <v>157.48220529896244</v>
      </c>
      <c r="AI36" s="8"/>
    </row>
    <row r="37" spans="1:35" x14ac:dyDescent="0.25">
      <c r="A37">
        <v>32</v>
      </c>
      <c r="B37" s="8"/>
      <c r="C37">
        <v>0.41</v>
      </c>
      <c r="D37">
        <v>2.34</v>
      </c>
      <c r="E37">
        <v>2.34</v>
      </c>
      <c r="F37">
        <f>'Rotor model (SI)'!H37/25.4</f>
        <v>0</v>
      </c>
      <c r="G37">
        <f>'Rotor model (SI)'!I37/25.4</f>
        <v>0</v>
      </c>
      <c r="H37">
        <f>'Rotor model (SI)'!J37*CONVERT(1,"kg","lbm")/CONVERT(1,"m","in")^3</f>
        <v>0.28299999999999997</v>
      </c>
      <c r="I37">
        <f>'Rotor model (SI)'!K37*1000000000*CONVERT(1,"N","lbf")/CONVERT(1,"m","in")^2</f>
        <v>30000000</v>
      </c>
      <c r="J37">
        <f>'Rotor model (SI)'!L37</f>
        <v>0.3</v>
      </c>
      <c r="K37" s="7">
        <f t="shared" si="7"/>
        <v>0.49899005307139666</v>
      </c>
      <c r="L37" s="6">
        <f t="shared" si="8"/>
        <v>0.49899005307139666</v>
      </c>
      <c r="M37" s="6">
        <f t="shared" si="9"/>
        <v>0.34153374182471741</v>
      </c>
      <c r="N37" s="6">
        <f t="shared" si="10"/>
        <v>0.17775688990580049</v>
      </c>
      <c r="O37" s="36">
        <v>0.25</v>
      </c>
      <c r="P37" s="106">
        <f>'Rotor model (SI)'!R37*CONVERT(1,"kg","lbm")*CONVERT(1,"m","in")^2</f>
        <v>0</v>
      </c>
      <c r="Q37" s="106">
        <f>'Rotor model (SI)'!S37*CONVERT(1,"kg","lbm")*CONVERT(1,"m","in")^2</f>
        <v>0</v>
      </c>
      <c r="U37">
        <f>'Rotor model (SI)'!U37*CONVERT(1,"N","lbf")</f>
        <v>0</v>
      </c>
      <c r="V37">
        <f>'Rotor model (SI)'!V37</f>
        <v>0</v>
      </c>
      <c r="W37">
        <f>'Rotor model (SI)'!W37/25.4</f>
        <v>0</v>
      </c>
      <c r="X37">
        <f>'Rotor model (SI)'!X37</f>
        <v>0</v>
      </c>
      <c r="Y37">
        <f>'Rotor model (SI)'!Y37/25.4</f>
        <v>0</v>
      </c>
      <c r="Z37">
        <f>'Rotor model (SI)'!Z37</f>
        <v>0</v>
      </c>
      <c r="AA37">
        <f>'Rotor model (SI)'!AA37</f>
        <v>0</v>
      </c>
      <c r="AB37">
        <f>'Rotor model (SI)'!AB37</f>
        <v>0</v>
      </c>
      <c r="AC37" s="19">
        <f t="shared" si="11"/>
        <v>31.217000000000002</v>
      </c>
      <c r="AD37">
        <f t="shared" si="12"/>
        <v>1.2023407720204096</v>
      </c>
      <c r="AE37">
        <f t="shared" si="13"/>
        <v>37.53347188016113</v>
      </c>
      <c r="AF37">
        <f t="shared" si="14"/>
        <v>0.65182964140936916</v>
      </c>
      <c r="AG37">
        <f t="shared" si="15"/>
        <v>0.65243279056498216</v>
      </c>
      <c r="AH37">
        <f t="shared" si="16"/>
        <v>95.436808199426338</v>
      </c>
      <c r="AI37" s="19"/>
    </row>
    <row r="38" spans="1:35" x14ac:dyDescent="0.25">
      <c r="A38">
        <v>33</v>
      </c>
      <c r="B38" s="8"/>
      <c r="C38">
        <f>(2.1-0.188)/2</f>
        <v>0.95600000000000007</v>
      </c>
      <c r="D38" s="97">
        <v>2.34</v>
      </c>
      <c r="E38" s="6">
        <f>CONVERT(91.377,"mm","in")</f>
        <v>3.5975196850393703</v>
      </c>
      <c r="F38">
        <f>'Rotor model (SI)'!H38/25.4</f>
        <v>0</v>
      </c>
      <c r="G38">
        <f>'Rotor model (SI)'!I38/25.4</f>
        <v>0</v>
      </c>
      <c r="H38">
        <f>'Rotor model (SI)'!J38*CONVERT(1,"kg","lbm")/CONVERT(1,"m","in")^3</f>
        <v>0.28299999999999997</v>
      </c>
      <c r="I38">
        <f>'Rotor model (SI)'!K38*1000000000*CONVERT(1,"N","lbf")/CONVERT(1,"m","in")^2</f>
        <v>30000000</v>
      </c>
      <c r="J38">
        <f>'Rotor model (SI)'!L38</f>
        <v>0.3</v>
      </c>
      <c r="K38" s="7">
        <f t="shared" si="7"/>
        <v>2.7500498553202259</v>
      </c>
      <c r="L38" s="6">
        <f t="shared" si="8"/>
        <v>2.7500498553202259</v>
      </c>
      <c r="M38" s="6">
        <f t="shared" si="9"/>
        <v>4.4489439895753815</v>
      </c>
      <c r="N38" s="6">
        <f t="shared" si="10"/>
        <v>2.4339194585020194</v>
      </c>
      <c r="O38" s="106">
        <f>'Rotor model (SI)'!Q38*CONVERT(1,"kg","lbm")</f>
        <v>0</v>
      </c>
      <c r="P38" s="106">
        <f>'Rotor model (SI)'!R38*CONVERT(1,"kg","lbm")*CONVERT(1,"m","in")^2</f>
        <v>0</v>
      </c>
      <c r="Q38" s="106">
        <f>'Rotor model (SI)'!S38*CONVERT(1,"kg","lbm")*CONVERT(1,"m","in")^2</f>
        <v>0</v>
      </c>
      <c r="U38">
        <f>'Rotor model (SI)'!U38*CONVERT(1,"N","lbf")</f>
        <v>0</v>
      </c>
      <c r="V38">
        <f>'Rotor model (SI)'!V38</f>
        <v>0</v>
      </c>
      <c r="W38">
        <f>'Rotor model (SI)'!W38/25.4</f>
        <v>0</v>
      </c>
      <c r="X38">
        <f>'Rotor model (SI)'!X38</f>
        <v>0</v>
      </c>
      <c r="Y38">
        <f>'Rotor model (SI)'!Y38/25.4</f>
        <v>0</v>
      </c>
      <c r="Z38">
        <f>'Rotor model (SI)'!Z38</f>
        <v>0</v>
      </c>
      <c r="AA38">
        <f>'Rotor model (SI)'!AA38</f>
        <v>0</v>
      </c>
      <c r="AB38">
        <f>'Rotor model (SI)'!AB38</f>
        <v>0</v>
      </c>
      <c r="AC38" s="19">
        <f t="shared" si="11"/>
        <v>31.627000000000002</v>
      </c>
      <c r="AD38">
        <f t="shared" si="12"/>
        <v>1.6245199541958113</v>
      </c>
      <c r="AE38">
        <f t="shared" si="13"/>
        <v>51.378692591350926</v>
      </c>
      <c r="AF38">
        <f t="shared" si="14"/>
        <v>2.3952388657000494</v>
      </c>
      <c r="AG38">
        <f t="shared" si="15"/>
        <v>1.6304943982655662</v>
      </c>
      <c r="AH38">
        <f t="shared" si="16"/>
        <v>400.32899502732045</v>
      </c>
    </row>
    <row r="39" spans="1:35" x14ac:dyDescent="0.25">
      <c r="A39">
        <v>34</v>
      </c>
      <c r="B39" s="8" t="s">
        <v>257</v>
      </c>
      <c r="C39">
        <f>(2.1-0.188)/2</f>
        <v>0.95600000000000007</v>
      </c>
      <c r="D39" s="97">
        <f>D38</f>
        <v>2.34</v>
      </c>
      <c r="E39" s="6">
        <f>CONVERT(91.377,"mm","in")</f>
        <v>3.5975196850393703</v>
      </c>
      <c r="F39">
        <f>'Rotor model (SI)'!H39/25.4</f>
        <v>0</v>
      </c>
      <c r="G39">
        <f>'Rotor model (SI)'!I39/25.4</f>
        <v>0</v>
      </c>
      <c r="H39">
        <f>'Rotor model (SI)'!J39*CONVERT(1,"kg","lbm")/CONVERT(1,"m","in")^3</f>
        <v>0.28299999999999997</v>
      </c>
      <c r="I39">
        <f>'Rotor model (SI)'!K39*1000000000*CONVERT(1,"N","lbf")/CONVERT(1,"m","in")^2</f>
        <v>30000000</v>
      </c>
      <c r="J39">
        <f>'Rotor model (SI)'!L39</f>
        <v>0.3</v>
      </c>
      <c r="K39" s="7">
        <f t="shared" si="7"/>
        <v>2.7500498553202259</v>
      </c>
      <c r="L39" s="6">
        <f t="shared" si="8"/>
        <v>2.7500498553202259</v>
      </c>
      <c r="M39" s="6">
        <f t="shared" si="9"/>
        <v>4.4489439895753815</v>
      </c>
      <c r="N39" s="6">
        <f t="shared" si="10"/>
        <v>2.4339194585020194</v>
      </c>
      <c r="O39" s="106">
        <f>'Rotor model (SI)'!Q39*CONVERT(1,"kg","lbm")</f>
        <v>0</v>
      </c>
      <c r="P39" s="106">
        <f>'Rotor model (SI)'!R39*CONVERT(1,"kg","lbm")*CONVERT(1,"m","in")^2</f>
        <v>0</v>
      </c>
      <c r="Q39" s="106">
        <f>'Rotor model (SI)'!S39*CONVERT(1,"kg","lbm")*CONVERT(1,"m","in")^2</f>
        <v>0</v>
      </c>
      <c r="U39">
        <f>'Rotor model (SI)'!U39*CONVERT(1,"N","lbf")</f>
        <v>0</v>
      </c>
      <c r="V39">
        <f>'Rotor model (SI)'!V39</f>
        <v>0</v>
      </c>
      <c r="W39">
        <f>'Rotor model (SI)'!W39/25.4</f>
        <v>0</v>
      </c>
      <c r="X39">
        <f>'Rotor model (SI)'!X39</f>
        <v>0</v>
      </c>
      <c r="Y39">
        <f>'Rotor model (SI)'!Y39/25.4</f>
        <v>0</v>
      </c>
      <c r="Z39">
        <f>'Rotor model (SI)'!Z39</f>
        <v>0</v>
      </c>
      <c r="AA39">
        <f>'Rotor model (SI)'!AA39</f>
        <v>0</v>
      </c>
      <c r="AB39">
        <f>'Rotor model (SI)'!AB39</f>
        <v>0</v>
      </c>
      <c r="AC39" s="19">
        <f t="shared" si="11"/>
        <v>32.583000000000006</v>
      </c>
      <c r="AD39">
        <f t="shared" si="12"/>
        <v>2.7500498553202259</v>
      </c>
      <c r="AE39">
        <f t="shared" si="13"/>
        <v>89.604874435898935</v>
      </c>
      <c r="AF39">
        <f t="shared" si="14"/>
        <v>4.4489439895753815</v>
      </c>
      <c r="AG39">
        <f t="shared" si="15"/>
        <v>3.0622618496450063</v>
      </c>
      <c r="AH39">
        <f t="shared" si="16"/>
        <v>466.08973205735231</v>
      </c>
    </row>
    <row r="40" spans="1:35" x14ac:dyDescent="0.25">
      <c r="A40">
        <v>35</v>
      </c>
      <c r="C40" s="6">
        <f>2.373/2</f>
        <v>1.1865000000000001</v>
      </c>
      <c r="D40">
        <v>2.2599999999999998</v>
      </c>
      <c r="E40">
        <v>2.2599999999999998</v>
      </c>
      <c r="F40">
        <f>'Rotor model (SI)'!H40/25.4</f>
        <v>0</v>
      </c>
      <c r="G40">
        <f>'Rotor model (SI)'!I40/25.4</f>
        <v>0</v>
      </c>
      <c r="H40">
        <f>'Rotor model (SI)'!J40*CONVERT(1,"kg","lbm")/CONVERT(1,"m","in")^3</f>
        <v>0.28299999999999997</v>
      </c>
      <c r="I40">
        <f>'Rotor model (SI)'!K40*1000000000*CONVERT(1,"N","lbf")/CONVERT(1,"m","in")^2</f>
        <v>30000000</v>
      </c>
      <c r="J40">
        <f>'Rotor model (SI)'!L40</f>
        <v>0.3</v>
      </c>
      <c r="K40" s="7">
        <f t="shared" si="7"/>
        <v>1.3469793498730278</v>
      </c>
      <c r="L40" s="6">
        <f t="shared" si="8"/>
        <v>1.3469793498730278</v>
      </c>
      <c r="M40" s="6">
        <f t="shared" si="9"/>
        <v>0.85997896592643441</v>
      </c>
      <c r="N40" s="6">
        <f t="shared" si="10"/>
        <v>0.58801061795219967</v>
      </c>
      <c r="O40" s="36">
        <v>0.11</v>
      </c>
      <c r="P40" s="106">
        <f>'Rotor model (SI)'!R40*CONVERT(1,"kg","lbm")*CONVERT(1,"m","in")^2</f>
        <v>0</v>
      </c>
      <c r="Q40" s="106">
        <f>'Rotor model (SI)'!S40*CONVERT(1,"kg","lbm")*CONVERT(1,"m","in")^2</f>
        <v>0</v>
      </c>
      <c r="U40">
        <f>'Rotor model (SI)'!U40*CONVERT(1,"N","lbf")</f>
        <v>0</v>
      </c>
      <c r="V40">
        <f>'Rotor model (SI)'!V40</f>
        <v>0</v>
      </c>
      <c r="W40">
        <f>'Rotor model (SI)'!W40/25.4</f>
        <v>0</v>
      </c>
      <c r="X40">
        <f>'Rotor model (SI)'!X40</f>
        <v>0</v>
      </c>
      <c r="Y40">
        <f>'Rotor model (SI)'!Y40/25.4</f>
        <v>0</v>
      </c>
      <c r="Z40">
        <f>'Rotor model (SI)'!Z40</f>
        <v>0</v>
      </c>
      <c r="AA40">
        <f>'Rotor model (SI)'!AA40</f>
        <v>0</v>
      </c>
      <c r="AB40">
        <f>'Rotor model (SI)'!AB40</f>
        <v>0</v>
      </c>
      <c r="AC40" s="19">
        <f t="shared" si="11"/>
        <v>33.539000000000009</v>
      </c>
      <c r="AD40">
        <f t="shared" si="12"/>
        <v>2.1585146025966266</v>
      </c>
      <c r="AE40">
        <f t="shared" si="13"/>
        <v>72.394421256488286</v>
      </c>
      <c r="AF40">
        <f t="shared" si="14"/>
        <v>2.6544614777509081</v>
      </c>
      <c r="AG40">
        <f t="shared" si="15"/>
        <v>2.0621679362820764</v>
      </c>
      <c r="AH40">
        <f t="shared" si="16"/>
        <v>286.64192052357305</v>
      </c>
    </row>
    <row r="41" spans="1:35" x14ac:dyDescent="0.25">
      <c r="A41">
        <v>36</v>
      </c>
      <c r="C41" s="6">
        <f>2.373/2</f>
        <v>1.1865000000000001</v>
      </c>
      <c r="D41">
        <v>2.2599999999999998</v>
      </c>
      <c r="E41">
        <v>2.2599999999999998</v>
      </c>
      <c r="F41">
        <f>'Rotor model (SI)'!H41/25.4</f>
        <v>0</v>
      </c>
      <c r="G41">
        <f>'Rotor model (SI)'!I41/25.4</f>
        <v>0</v>
      </c>
      <c r="H41">
        <f>'Rotor model (SI)'!J41*CONVERT(1,"kg","lbm")/CONVERT(1,"m","in")^3</f>
        <v>0.28299999999999997</v>
      </c>
      <c r="I41">
        <f>'Rotor model (SI)'!K41*1000000000*CONVERT(1,"N","lbf")/CONVERT(1,"m","in")^2</f>
        <v>30000000</v>
      </c>
      <c r="J41">
        <f>'Rotor model (SI)'!L41</f>
        <v>0.3</v>
      </c>
      <c r="K41" s="7">
        <f t="shared" si="7"/>
        <v>1.3469793498730278</v>
      </c>
      <c r="L41" s="6">
        <f t="shared" si="8"/>
        <v>1.3469793498730278</v>
      </c>
      <c r="M41" s="6">
        <f t="shared" si="9"/>
        <v>0.85997896592643441</v>
      </c>
      <c r="N41" s="6">
        <f t="shared" si="10"/>
        <v>0.58801061795219967</v>
      </c>
      <c r="O41" s="106">
        <f>'Rotor model (SI)'!Q41*CONVERT(1,"kg","lbm")</f>
        <v>0</v>
      </c>
      <c r="P41" s="106">
        <f>'Rotor model (SI)'!R41*CONVERT(1,"kg","lbm")*CONVERT(1,"m","in")^2</f>
        <v>0</v>
      </c>
      <c r="Q41" s="106">
        <f>'Rotor model (SI)'!S41*CONVERT(1,"kg","lbm")*CONVERT(1,"m","in")^2</f>
        <v>0</v>
      </c>
      <c r="U41">
        <f>'Rotor model (SI)'!U41*CONVERT(1,"N","lbf")</f>
        <v>0</v>
      </c>
      <c r="V41">
        <f>'Rotor model (SI)'!V41</f>
        <v>0</v>
      </c>
      <c r="W41">
        <f>'Rotor model (SI)'!W41/25.4</f>
        <v>0</v>
      </c>
      <c r="X41">
        <f>'Rotor model (SI)'!X41</f>
        <v>0</v>
      </c>
      <c r="Y41">
        <f>'Rotor model (SI)'!Y41/25.4</f>
        <v>0</v>
      </c>
      <c r="Z41">
        <f>'Rotor model (SI)'!Z41</f>
        <v>0</v>
      </c>
      <c r="AA41">
        <f>'Rotor model (SI)'!AA41</f>
        <v>0</v>
      </c>
      <c r="AB41">
        <f>'Rotor model (SI)'!AB41</f>
        <v>0</v>
      </c>
      <c r="AC41" s="19">
        <f t="shared" si="11"/>
        <v>34.725500000000011</v>
      </c>
      <c r="AD41">
        <f t="shared" si="12"/>
        <v>1.3469793498730278</v>
      </c>
      <c r="AE41">
        <f t="shared" si="13"/>
        <v>46.77453141401584</v>
      </c>
      <c r="AF41">
        <f t="shared" si="14"/>
        <v>0.85997896592643441</v>
      </c>
      <c r="AG41">
        <f t="shared" si="15"/>
        <v>1.062074022919147</v>
      </c>
      <c r="AH41">
        <f t="shared" si="16"/>
        <v>313.52945712861765</v>
      </c>
    </row>
    <row r="42" spans="1:35" x14ac:dyDescent="0.25">
      <c r="A42">
        <v>37</v>
      </c>
      <c r="C42">
        <f>1.25/2</f>
        <v>0.625</v>
      </c>
      <c r="D42">
        <v>2.2599999999999998</v>
      </c>
      <c r="E42">
        <v>2.2599999999999998</v>
      </c>
      <c r="F42">
        <f>'Rotor model (SI)'!H42/25.4</f>
        <v>0</v>
      </c>
      <c r="G42">
        <f>'Rotor model (SI)'!I42/25.4</f>
        <v>0</v>
      </c>
      <c r="H42">
        <f>'Rotor model (SI)'!J42*CONVERT(1,"kg","lbm")/CONVERT(1,"m","in")^3</f>
        <v>0.28299999999999997</v>
      </c>
      <c r="I42">
        <f>'Rotor model (SI)'!K42*1000000000*CONVERT(1,"N","lbf")/CONVERT(1,"m","in")^2</f>
        <v>30000000</v>
      </c>
      <c r="J42">
        <f>'Rotor model (SI)'!L42</f>
        <v>0.3</v>
      </c>
      <c r="K42" s="7">
        <f t="shared" si="7"/>
        <v>0.70953400225085739</v>
      </c>
      <c r="L42" s="6">
        <f t="shared" si="8"/>
        <v>0.70953400225085739</v>
      </c>
      <c r="M42" s="6">
        <f t="shared" si="9"/>
        <v>0.4530019837370598</v>
      </c>
      <c r="N42" s="6">
        <f t="shared" si="10"/>
        <v>0.24959780183763333</v>
      </c>
      <c r="O42" s="106">
        <f>'Rotor model (SI)'!Q42*CONVERT(1,"kg","lbm")</f>
        <v>0</v>
      </c>
      <c r="P42" s="106">
        <f>'Rotor model (SI)'!R42*CONVERT(1,"kg","lbm")*CONVERT(1,"m","in")^2</f>
        <v>0</v>
      </c>
      <c r="Q42" s="106">
        <f>'Rotor model (SI)'!S42*CONVERT(1,"kg","lbm")*CONVERT(1,"m","in")^2</f>
        <v>0</v>
      </c>
      <c r="U42">
        <f>'Rotor model (SI)'!U42*CONVERT(1,"N","lbf")</f>
        <v>0</v>
      </c>
      <c r="V42">
        <f>'Rotor model (SI)'!V42</f>
        <v>0</v>
      </c>
      <c r="W42">
        <f>'Rotor model (SI)'!W42/25.4</f>
        <v>0</v>
      </c>
      <c r="X42">
        <f>'Rotor model (SI)'!X42</f>
        <v>0</v>
      </c>
      <c r="Y42">
        <f>'Rotor model (SI)'!Y42/25.4</f>
        <v>0</v>
      </c>
      <c r="Z42">
        <f>'Rotor model (SI)'!Z42</f>
        <v>0</v>
      </c>
      <c r="AA42">
        <f>'Rotor model (SI)'!AA42</f>
        <v>0</v>
      </c>
      <c r="AB42">
        <f>'Rotor model (SI)'!AB42</f>
        <v>0</v>
      </c>
      <c r="AC42" s="19">
        <f t="shared" si="11"/>
        <v>35.912000000000013</v>
      </c>
      <c r="AD42">
        <f t="shared" si="12"/>
        <v>1.0282566760619427</v>
      </c>
      <c r="AE42">
        <f t="shared" si="13"/>
        <v>36.926753750736502</v>
      </c>
      <c r="AF42">
        <f t="shared" si="14"/>
        <v>0.65649047483174705</v>
      </c>
      <c r="AG42">
        <f t="shared" si="15"/>
        <v>0.69048112733204525</v>
      </c>
      <c r="AH42">
        <f t="shared" si="16"/>
        <v>185.2678002420617</v>
      </c>
      <c r="AI42" s="8"/>
    </row>
    <row r="43" spans="1:35" x14ac:dyDescent="0.25">
      <c r="A43">
        <v>38</v>
      </c>
      <c r="B43" s="8" t="s">
        <v>248</v>
      </c>
      <c r="C43">
        <f>1.25/2</f>
        <v>0.625</v>
      </c>
      <c r="D43">
        <v>2.2599999999999998</v>
      </c>
      <c r="E43">
        <v>2.2599999999999998</v>
      </c>
      <c r="F43">
        <f>'Rotor model (SI)'!H43/25.4</f>
        <v>0</v>
      </c>
      <c r="G43">
        <f>'Rotor model (SI)'!I43/25.4</f>
        <v>0</v>
      </c>
      <c r="H43">
        <f>'Rotor model (SI)'!J43*CONVERT(1,"kg","lbm")/CONVERT(1,"m","in")^3</f>
        <v>0.28299999999999997</v>
      </c>
      <c r="I43">
        <f>'Rotor model (SI)'!K43*1000000000*CONVERT(1,"N","lbf")/CONVERT(1,"m","in")^2</f>
        <v>30000000</v>
      </c>
      <c r="J43">
        <f>'Rotor model (SI)'!L43</f>
        <v>0.3</v>
      </c>
      <c r="K43" s="7">
        <f t="shared" si="7"/>
        <v>0.70953400225085739</v>
      </c>
      <c r="L43" s="6">
        <f t="shared" si="8"/>
        <v>0.70953400225085739</v>
      </c>
      <c r="M43" s="6">
        <f t="shared" si="9"/>
        <v>0.4530019837370598</v>
      </c>
      <c r="N43" s="6">
        <f t="shared" si="10"/>
        <v>0.24959780183763333</v>
      </c>
      <c r="O43" s="106">
        <f>'Rotor model (SI)'!Q43*CONVERT(1,"kg","lbm")</f>
        <v>0</v>
      </c>
      <c r="P43" s="106">
        <f>'Rotor model (SI)'!R43*CONVERT(1,"kg","lbm")*CONVERT(1,"m","in")^2</f>
        <v>0</v>
      </c>
      <c r="Q43" s="106">
        <f>'Rotor model (SI)'!S43*CONVERT(1,"kg","lbm")*CONVERT(1,"m","in")^2</f>
        <v>0</v>
      </c>
      <c r="U43">
        <f>'Rotor model (SI)'!U43*CONVERT(1,"N","lbf")</f>
        <v>0</v>
      </c>
      <c r="V43">
        <f>'Rotor model (SI)'!V43</f>
        <v>0</v>
      </c>
      <c r="W43">
        <f>'Rotor model (SI)'!W43/25.4</f>
        <v>0</v>
      </c>
      <c r="X43">
        <f>'Rotor model (SI)'!X43</f>
        <v>0</v>
      </c>
      <c r="Y43">
        <f>'Rotor model (SI)'!Y43/25.4</f>
        <v>0</v>
      </c>
      <c r="Z43">
        <f>'Rotor model (SI)'!Z43</f>
        <v>0</v>
      </c>
      <c r="AA43">
        <f>'Rotor model (SI)'!AA43</f>
        <v>0</v>
      </c>
      <c r="AB43">
        <f>'Rotor model (SI)'!AB43</f>
        <v>0</v>
      </c>
      <c r="AC43" s="19">
        <f>AC42+C42</f>
        <v>36.537000000000013</v>
      </c>
      <c r="AD43">
        <f t="shared" si="12"/>
        <v>0.70953400225085739</v>
      </c>
      <c r="AE43">
        <f t="shared" si="13"/>
        <v>25.924243840239587</v>
      </c>
      <c r="AF43">
        <f t="shared" si="14"/>
        <v>0.4530019837370598</v>
      </c>
      <c r="AG43">
        <f t="shared" si="15"/>
        <v>0.31888823174494363</v>
      </c>
      <c r="AH43">
        <f t="shared" si="16"/>
        <v>199.86696784788489</v>
      </c>
      <c r="AI43" s="19"/>
    </row>
    <row r="44" spans="1:35" x14ac:dyDescent="0.25">
      <c r="A44">
        <v>39</v>
      </c>
      <c r="B44" s="8"/>
      <c r="C44" s="6">
        <f>(2.413-0.188)/2</f>
        <v>1.1124999999999998</v>
      </c>
      <c r="D44" s="108">
        <v>2.2599999999999998</v>
      </c>
      <c r="E44" s="6">
        <f t="shared" ref="E44:E45" si="21">CONVERT(91.237,"mm","in")</f>
        <v>3.5920078740157484</v>
      </c>
      <c r="F44">
        <f>'Rotor model (SI)'!H44/25.4</f>
        <v>0</v>
      </c>
      <c r="G44">
        <f>'Rotor model (SI)'!I44/25.4</f>
        <v>0</v>
      </c>
      <c r="H44">
        <f>'Rotor model (SI)'!J44*CONVERT(1,"kg","lbm")/CONVERT(1,"m","in")^3</f>
        <v>0.28299999999999997</v>
      </c>
      <c r="I44">
        <f>'Rotor model (SI)'!K44*1000000000*CONVERT(1,"N","lbf")/CONVERT(1,"m","in")^2</f>
        <v>30000000</v>
      </c>
      <c r="J44">
        <f>'Rotor model (SI)'!L44</f>
        <v>0.3</v>
      </c>
      <c r="K44" s="7">
        <f t="shared" si="7"/>
        <v>3.1904423137085476</v>
      </c>
      <c r="L44" s="6">
        <f t="shared" si="8"/>
        <v>3.1904423137085476</v>
      </c>
      <c r="M44" s="6">
        <f t="shared" si="9"/>
        <v>5.1455934463029154</v>
      </c>
      <c r="N44" s="6">
        <f t="shared" si="10"/>
        <v>2.9018526289702775</v>
      </c>
      <c r="O44" s="106">
        <f>'Rotor model (SI)'!Q44*CONVERT(1,"kg","lbm")</f>
        <v>0</v>
      </c>
      <c r="P44" s="106">
        <f>'Rotor model (SI)'!R44*CONVERT(1,"kg","lbm")*CONVERT(1,"m","in")^2</f>
        <v>0</v>
      </c>
      <c r="Q44" s="106">
        <f>'Rotor model (SI)'!S44*CONVERT(1,"kg","lbm")*CONVERT(1,"m","in")^2</f>
        <v>0</v>
      </c>
      <c r="U44">
        <f>'Rotor model (SI)'!U44*CONVERT(1,"N","lbf")</f>
        <v>0</v>
      </c>
      <c r="V44">
        <f>'Rotor model (SI)'!V44</f>
        <v>0</v>
      </c>
      <c r="W44">
        <f>'Rotor model (SI)'!W44/25.4</f>
        <v>0</v>
      </c>
      <c r="X44">
        <f>'Rotor model (SI)'!X44</f>
        <v>0</v>
      </c>
      <c r="Y44">
        <f>'Rotor model (SI)'!Y44/25.4</f>
        <v>0</v>
      </c>
      <c r="Z44">
        <f>'Rotor model (SI)'!Z44</f>
        <v>0</v>
      </c>
      <c r="AA44">
        <f>'Rotor model (SI)'!AA44</f>
        <v>0</v>
      </c>
      <c r="AB44">
        <f>'Rotor model (SI)'!AB44</f>
        <v>0</v>
      </c>
      <c r="AC44" s="19">
        <f t="shared" si="11"/>
        <v>37.162000000000013</v>
      </c>
      <c r="AD44">
        <f t="shared" si="12"/>
        <v>1.9499881579797025</v>
      </c>
      <c r="AE44">
        <f t="shared" si="13"/>
        <v>72.465459926841731</v>
      </c>
      <c r="AF44">
        <f t="shared" si="14"/>
        <v>2.7992977150199874</v>
      </c>
      <c r="AG44">
        <f t="shared" si="15"/>
        <v>2.1039542890858409</v>
      </c>
      <c r="AH44">
        <f t="shared" si="16"/>
        <v>995.87537455408085</v>
      </c>
    </row>
    <row r="45" spans="1:35" x14ac:dyDescent="0.25">
      <c r="A45">
        <v>40</v>
      </c>
      <c r="B45" s="8" t="s">
        <v>254</v>
      </c>
      <c r="C45" s="6">
        <f>(2.413-0.188)/2</f>
        <v>1.1124999999999998</v>
      </c>
      <c r="D45" s="97">
        <f>D44</f>
        <v>2.2599999999999998</v>
      </c>
      <c r="E45" s="6">
        <f t="shared" si="21"/>
        <v>3.5920078740157484</v>
      </c>
      <c r="F45">
        <f>'Rotor model (SI)'!H45/25.4</f>
        <v>0</v>
      </c>
      <c r="G45">
        <f>'Rotor model (SI)'!I45/25.4</f>
        <v>0</v>
      </c>
      <c r="H45">
        <f>'Rotor model (SI)'!J45*CONVERT(1,"kg","lbm")/CONVERT(1,"m","in")^3</f>
        <v>0.28299999999999997</v>
      </c>
      <c r="I45">
        <f>'Rotor model (SI)'!K45*1000000000*CONVERT(1,"N","lbf")/CONVERT(1,"m","in")^2</f>
        <v>30000000</v>
      </c>
      <c r="J45">
        <f>'Rotor model (SI)'!L45</f>
        <v>0.3</v>
      </c>
      <c r="K45" s="7">
        <f t="shared" si="7"/>
        <v>3.1904423137085476</v>
      </c>
      <c r="L45" s="6">
        <f t="shared" si="8"/>
        <v>3.1904423137085476</v>
      </c>
      <c r="M45" s="6">
        <f t="shared" si="9"/>
        <v>5.1455934463029154</v>
      </c>
      <c r="N45" s="6">
        <f t="shared" si="10"/>
        <v>2.9018526289702775</v>
      </c>
      <c r="O45" s="106">
        <f>'Rotor model (SI)'!Q45*CONVERT(1,"kg","lbm")</f>
        <v>0</v>
      </c>
      <c r="P45" s="106">
        <f>'Rotor model (SI)'!R45*CONVERT(1,"kg","lbm")*CONVERT(1,"m","in")^2</f>
        <v>0</v>
      </c>
      <c r="Q45" s="106">
        <f>'Rotor model (SI)'!S45*CONVERT(1,"kg","lbm")*CONVERT(1,"m","in")^2</f>
        <v>0</v>
      </c>
      <c r="U45">
        <f>'Rotor model (SI)'!U45*CONVERT(1,"N","lbf")</f>
        <v>0</v>
      </c>
      <c r="V45">
        <f>'Rotor model (SI)'!V45</f>
        <v>0</v>
      </c>
      <c r="W45">
        <f>'Rotor model (SI)'!W45/25.4</f>
        <v>0</v>
      </c>
      <c r="X45">
        <f>'Rotor model (SI)'!X45</f>
        <v>0</v>
      </c>
      <c r="Y45">
        <f>'Rotor model (SI)'!Y45/25.4</f>
        <v>0</v>
      </c>
      <c r="Z45">
        <f>'Rotor model (SI)'!Z45</f>
        <v>0</v>
      </c>
      <c r="AA45">
        <f>'Rotor model (SI)'!AA45</f>
        <v>0</v>
      </c>
      <c r="AB45">
        <f>'Rotor model (SI)'!AB45</f>
        <v>0</v>
      </c>
      <c r="AC45" s="19">
        <f>AC44+C44</f>
        <v>38.27450000000001</v>
      </c>
      <c r="AD45">
        <f t="shared" si="12"/>
        <v>3.1904423137085476</v>
      </c>
      <c r="AE45">
        <f t="shared" si="13"/>
        <v>122.11258433603784</v>
      </c>
      <c r="AF45">
        <f t="shared" si="14"/>
        <v>5.1455934463029154</v>
      </c>
      <c r="AG45">
        <f t="shared" si="15"/>
        <v>3.8890203464267383</v>
      </c>
      <c r="AH45">
        <f t="shared" si="16"/>
        <v>1125.0586352229561</v>
      </c>
      <c r="AI45" s="8"/>
    </row>
    <row r="46" spans="1:35" x14ac:dyDescent="0.25">
      <c r="A46">
        <v>41</v>
      </c>
      <c r="C46" s="6">
        <f>1.065/2+0.188</f>
        <v>0.72049999999999992</v>
      </c>
      <c r="D46">
        <v>2.145</v>
      </c>
      <c r="E46">
        <v>2.145</v>
      </c>
      <c r="F46">
        <f>'Rotor model (SI)'!H46/25.4</f>
        <v>0</v>
      </c>
      <c r="G46">
        <f>'Rotor model (SI)'!I46/25.4</f>
        <v>0</v>
      </c>
      <c r="H46">
        <f>'Rotor model (SI)'!J46*CONVERT(1,"kg","lbm")/CONVERT(1,"m","in")^3</f>
        <v>0.28299999999999997</v>
      </c>
      <c r="I46">
        <f>'Rotor model (SI)'!K46*1000000000*CONVERT(1,"N","lbf")/CONVERT(1,"m","in")^2</f>
        <v>30000000</v>
      </c>
      <c r="J46">
        <f>'Rotor model (SI)'!L46</f>
        <v>0.3</v>
      </c>
      <c r="K46" s="7">
        <f t="shared" si="7"/>
        <v>0.73682592008453418</v>
      </c>
      <c r="L46" s="6">
        <f t="shared" si="8"/>
        <v>0.73682592008453418</v>
      </c>
      <c r="M46" s="6">
        <f t="shared" si="9"/>
        <v>0.42376930986961797</v>
      </c>
      <c r="N46" s="6">
        <f t="shared" si="10"/>
        <v>0.24375975958820592</v>
      </c>
      <c r="O46" s="36">
        <v>0.12</v>
      </c>
      <c r="P46" s="106">
        <f>'Rotor model (SI)'!R46*CONVERT(1,"kg","lbm")*CONVERT(1,"m","in")^2</f>
        <v>0</v>
      </c>
      <c r="Q46" s="106">
        <f>'Rotor model (SI)'!S46*CONVERT(1,"kg","lbm")*CONVERT(1,"m","in")^2</f>
        <v>0</v>
      </c>
      <c r="U46">
        <f>'Rotor model (SI)'!U46*CONVERT(1,"N","lbf")</f>
        <v>0</v>
      </c>
      <c r="V46">
        <f>'Rotor model (SI)'!V46</f>
        <v>0</v>
      </c>
      <c r="W46">
        <f>'Rotor model (SI)'!W46/25.4</f>
        <v>0</v>
      </c>
      <c r="X46">
        <f>'Rotor model (SI)'!X46</f>
        <v>0</v>
      </c>
      <c r="Y46">
        <f>'Rotor model (SI)'!Y46/25.4</f>
        <v>0</v>
      </c>
      <c r="Z46">
        <f>'Rotor model (SI)'!Z46</f>
        <v>0</v>
      </c>
      <c r="AA46">
        <f>'Rotor model (SI)'!AA46</f>
        <v>0</v>
      </c>
      <c r="AB46">
        <f>'Rotor model (SI)'!AB46</f>
        <v>0</v>
      </c>
      <c r="AC46" s="19">
        <f t="shared" si="11"/>
        <v>39.387000000000008</v>
      </c>
      <c r="AD46">
        <f t="shared" si="12"/>
        <v>2.0836341168965409</v>
      </c>
      <c r="AE46">
        <f t="shared" si="13"/>
        <v>82.068096962204066</v>
      </c>
      <c r="AF46">
        <f t="shared" si="14"/>
        <v>2.7846813780862667</v>
      </c>
      <c r="AG46">
        <f t="shared" si="15"/>
        <v>2.1142027099875675</v>
      </c>
      <c r="AH46">
        <f t="shared" si="16"/>
        <v>330.09980798477443</v>
      </c>
      <c r="AI46" s="19"/>
    </row>
    <row r="47" spans="1:35" x14ac:dyDescent="0.25">
      <c r="A47">
        <v>42</v>
      </c>
      <c r="C47" s="6">
        <f>1.065/2</f>
        <v>0.53249999999999997</v>
      </c>
      <c r="D47">
        <f>D46</f>
        <v>2.145</v>
      </c>
      <c r="E47">
        <v>2.145</v>
      </c>
      <c r="F47">
        <f>'Rotor model (SI)'!H47/25.4</f>
        <v>0</v>
      </c>
      <c r="G47">
        <f>'Rotor model (SI)'!I47/25.4</f>
        <v>0</v>
      </c>
      <c r="H47">
        <f>'Rotor model (SI)'!J47*CONVERT(1,"kg","lbm")/CONVERT(1,"m","in")^3</f>
        <v>0.28299999999999997</v>
      </c>
      <c r="I47">
        <f>'Rotor model (SI)'!K47*1000000000*CONVERT(1,"N","lbf")/CONVERT(1,"m","in")^2</f>
        <v>30000000</v>
      </c>
      <c r="J47">
        <f>'Rotor model (SI)'!L47</f>
        <v>0.3</v>
      </c>
      <c r="K47" s="7">
        <f t="shared" si="7"/>
        <v>0.54456599922972171</v>
      </c>
      <c r="L47" s="6">
        <f t="shared" si="8"/>
        <v>0.54456599922972171</v>
      </c>
      <c r="M47" s="6">
        <f t="shared" si="9"/>
        <v>0.3131952220757413</v>
      </c>
      <c r="N47" s="6">
        <f t="shared" si="10"/>
        <v>0.16946553542279422</v>
      </c>
      <c r="O47" s="106">
        <f>'Rotor model (SI)'!Q47*CONVERT(1,"kg","lbm")</f>
        <v>0</v>
      </c>
      <c r="P47" s="106">
        <f>'Rotor model (SI)'!R47*CONVERT(1,"kg","lbm")*CONVERT(1,"m","in")^2</f>
        <v>0</v>
      </c>
      <c r="Q47" s="106">
        <f>'Rotor model (SI)'!S47*CONVERT(1,"kg","lbm")*CONVERT(1,"m","in")^2</f>
        <v>0</v>
      </c>
      <c r="U47">
        <f>'Rotor model (SI)'!U47*CONVERT(1,"N","lbf")</f>
        <v>0</v>
      </c>
      <c r="V47">
        <f>'Rotor model (SI)'!V47</f>
        <v>0</v>
      </c>
      <c r="W47">
        <f>'Rotor model (SI)'!W47/25.4</f>
        <v>0</v>
      </c>
      <c r="X47">
        <f>'Rotor model (SI)'!X47</f>
        <v>0</v>
      </c>
      <c r="Y47">
        <f>'Rotor model (SI)'!Y47/25.4</f>
        <v>0</v>
      </c>
      <c r="Z47">
        <f>'Rotor model (SI)'!Z47</f>
        <v>0</v>
      </c>
      <c r="AA47">
        <f>'Rotor model (SI)'!AA47</f>
        <v>0</v>
      </c>
      <c r="AB47">
        <f>'Rotor model (SI)'!AB47</f>
        <v>0</v>
      </c>
      <c r="AC47" s="19">
        <f t="shared" si="11"/>
        <v>40.107500000000009</v>
      </c>
      <c r="AD47">
        <f t="shared" si="12"/>
        <v>0.640695959657128</v>
      </c>
      <c r="AE47">
        <f t="shared" si="13"/>
        <v>25.696713201948267</v>
      </c>
      <c r="AF47">
        <f t="shared" si="14"/>
        <v>0.36848226597267963</v>
      </c>
      <c r="AG47">
        <f t="shared" si="15"/>
        <v>0.27372719106298082</v>
      </c>
      <c r="AH47">
        <f t="shared" si="16"/>
        <v>224.52041809793366</v>
      </c>
    </row>
    <row r="48" spans="1:35" x14ac:dyDescent="0.25">
      <c r="A48">
        <v>43</v>
      </c>
      <c r="C48">
        <f>0.25</f>
        <v>0.25</v>
      </c>
      <c r="D48">
        <v>1.64</v>
      </c>
      <c r="E48">
        <v>1.64</v>
      </c>
      <c r="F48">
        <f>'Rotor model (SI)'!H48/25.4</f>
        <v>0</v>
      </c>
      <c r="G48">
        <f>'Rotor model (SI)'!I48/25.4</f>
        <v>0</v>
      </c>
      <c r="H48">
        <f>'Rotor model (SI)'!J48*CONVERT(1,"kg","lbm")/CONVERT(1,"m","in")^3</f>
        <v>0.28299999999999997</v>
      </c>
      <c r="I48">
        <f>'Rotor model (SI)'!K48*1000000000*CONVERT(1,"N","lbf")/CONVERT(1,"m","in")^2</f>
        <v>30000000</v>
      </c>
      <c r="J48">
        <f>'Rotor model (SI)'!L48</f>
        <v>0.3</v>
      </c>
      <c r="K48" s="7">
        <f t="shared" si="7"/>
        <v>0.14945278819436966</v>
      </c>
      <c r="L48" s="6">
        <f t="shared" si="8"/>
        <v>0.14945278819436966</v>
      </c>
      <c r="M48" s="6">
        <f t="shared" si="9"/>
        <v>5.0246027390947072E-2</v>
      </c>
      <c r="N48" s="6">
        <f t="shared" si="10"/>
        <v>2.5901413633985879E-2</v>
      </c>
      <c r="O48" s="106">
        <f>'Rotor model (SI)'!Q48*CONVERT(1,"kg","lbm")</f>
        <v>0</v>
      </c>
      <c r="P48" s="106">
        <f>'Rotor model (SI)'!R48*CONVERT(1,"kg","lbm")*CONVERT(1,"m","in")^2</f>
        <v>0</v>
      </c>
      <c r="Q48" s="106">
        <f>'Rotor model (SI)'!S48*CONVERT(1,"kg","lbm")*CONVERT(1,"m","in")^2</f>
        <v>0</v>
      </c>
      <c r="U48">
        <f>'Rotor model (SI)'!U48*CONVERT(1,"N","lbf")</f>
        <v>0</v>
      </c>
      <c r="V48">
        <f>'Rotor model (SI)'!V48</f>
        <v>0</v>
      </c>
      <c r="W48">
        <f>'Rotor model (SI)'!W48/25.4</f>
        <v>0</v>
      </c>
      <c r="X48">
        <f>'Rotor model (SI)'!X48</f>
        <v>0</v>
      </c>
      <c r="Y48">
        <f>'Rotor model (SI)'!Y48/25.4</f>
        <v>0</v>
      </c>
      <c r="Z48">
        <f>'Rotor model (SI)'!Z48</f>
        <v>0</v>
      </c>
      <c r="AA48">
        <f>'Rotor model (SI)'!AA48</f>
        <v>0</v>
      </c>
      <c r="AB48">
        <f>'Rotor model (SI)'!AB48</f>
        <v>0</v>
      </c>
      <c r="AC48" s="19">
        <f t="shared" si="11"/>
        <v>40.640000000000008</v>
      </c>
      <c r="AD48">
        <f t="shared" si="12"/>
        <v>0.3470093937120457</v>
      </c>
      <c r="AE48">
        <f t="shared" si="13"/>
        <v>14.10246176045754</v>
      </c>
      <c r="AF48">
        <f t="shared" si="14"/>
        <v>0.18172062473334419</v>
      </c>
      <c r="AG48">
        <f t="shared" si="15"/>
        <v>0.11815296101354392</v>
      </c>
      <c r="AH48">
        <f t="shared" si="16"/>
        <v>63.994224560675413</v>
      </c>
    </row>
    <row r="49" spans="1:35" x14ac:dyDescent="0.25">
      <c r="A49">
        <v>44</v>
      </c>
      <c r="B49" s="8" t="s">
        <v>249</v>
      </c>
      <c r="C49">
        <v>1.1879999999999999</v>
      </c>
      <c r="D49" s="6">
        <v>0.4385</v>
      </c>
      <c r="E49" s="6">
        <v>0.4385</v>
      </c>
      <c r="F49">
        <f>'Rotor model (SI)'!H49/25.4</f>
        <v>0</v>
      </c>
      <c r="G49">
        <f>'Rotor model (SI)'!I49/25.4</f>
        <v>0</v>
      </c>
      <c r="H49">
        <f>'Rotor model (SI)'!J49*CONVERT(1,"kg","lbm")/CONVERT(1,"m","in")^3</f>
        <v>0.28299999999999997</v>
      </c>
      <c r="I49">
        <f>'Rotor model (SI)'!K49*1000000000*CONVERT(1,"N","lbf")/CONVERT(1,"m","in")^2</f>
        <v>30000000</v>
      </c>
      <c r="J49">
        <f>'Rotor model (SI)'!L49</f>
        <v>0.3</v>
      </c>
      <c r="K49" s="7">
        <f t="shared" si="7"/>
        <v>5.0772898035024945E-2</v>
      </c>
      <c r="L49" s="6">
        <f t="shared" si="8"/>
        <v>5.0772898035024945E-2</v>
      </c>
      <c r="M49" s="6">
        <f t="shared" si="9"/>
        <v>1.2203408841493968E-3</v>
      </c>
      <c r="N49" s="6">
        <f t="shared" si="10"/>
        <v>6.581672525770051E-3</v>
      </c>
      <c r="O49" s="106">
        <f>'Rotor model (SI)'!Q49*CONVERT(1,"kg","lbm")</f>
        <v>0</v>
      </c>
      <c r="P49" s="106">
        <f>'Rotor model (SI)'!R49*CONVERT(1,"kg","lbm")*CONVERT(1,"m","in")^2</f>
        <v>0</v>
      </c>
      <c r="Q49" s="106">
        <f>'Rotor model (SI)'!S49*CONVERT(1,"kg","lbm")*CONVERT(1,"m","in")^2</f>
        <v>0</v>
      </c>
      <c r="U49">
        <f>'Rotor model (SI)'!U49*CONVERT(1,"N","lbf")</f>
        <v>0</v>
      </c>
      <c r="V49">
        <f>'Rotor model (SI)'!V49</f>
        <v>0</v>
      </c>
      <c r="W49">
        <f>'Rotor model (SI)'!W49/25.4</f>
        <v>0</v>
      </c>
      <c r="X49">
        <f>'Rotor model (SI)'!X49</f>
        <v>0</v>
      </c>
      <c r="Y49">
        <f>'Rotor model (SI)'!Y49/25.4</f>
        <v>0</v>
      </c>
      <c r="Z49">
        <f>'Rotor model (SI)'!Z49</f>
        <v>0</v>
      </c>
      <c r="AA49">
        <f>'Rotor model (SI)'!AA49</f>
        <v>0</v>
      </c>
      <c r="AB49">
        <f>'Rotor model (SI)'!AB49</f>
        <v>0</v>
      </c>
      <c r="AC49" s="19">
        <f t="shared" si="11"/>
        <v>40.890000000000008</v>
      </c>
      <c r="AD49">
        <f t="shared" si="12"/>
        <v>0.1001128431146973</v>
      </c>
      <c r="AE49">
        <f t="shared" si="13"/>
        <v>4.0936141549599734</v>
      </c>
      <c r="AF49">
        <f t="shared" si="14"/>
        <v>2.5733184137548236E-2</v>
      </c>
      <c r="AG49">
        <f t="shared" si="15"/>
        <v>2.6366396113189507E-2</v>
      </c>
      <c r="AH49">
        <f t="shared" si="16"/>
        <v>23.274991100030636</v>
      </c>
    </row>
    <row r="50" spans="1:35" x14ac:dyDescent="0.25">
      <c r="A50">
        <v>45</v>
      </c>
      <c r="C50">
        <v>0</v>
      </c>
      <c r="D50">
        <v>0.01</v>
      </c>
      <c r="E50">
        <v>0</v>
      </c>
      <c r="F50">
        <f>'Rotor model (SI)'!H50/25.4</f>
        <v>0</v>
      </c>
      <c r="G50">
        <f>'Rotor model (SI)'!I50/25.4</f>
        <v>0</v>
      </c>
      <c r="H50">
        <f>'Rotor model (SI)'!J50*CONVERT(1,"kg","lbm")/CONVERT(1,"m","in")^3</f>
        <v>0.28299999999999997</v>
      </c>
      <c r="I50">
        <f>'Rotor model (SI)'!K50*1000000000*CONVERT(1,"N","lbf")/CONVERT(1,"m","in")^2</f>
        <v>30000000</v>
      </c>
      <c r="J50">
        <f>'Rotor model (SI)'!L50</f>
        <v>0.3</v>
      </c>
      <c r="K50" s="7">
        <f t="shared" si="7"/>
        <v>0</v>
      </c>
      <c r="L50" s="6">
        <f t="shared" si="8"/>
        <v>0</v>
      </c>
      <c r="M50" s="6">
        <f t="shared" si="9"/>
        <v>0</v>
      </c>
      <c r="N50" s="6">
        <f t="shared" si="10"/>
        <v>0</v>
      </c>
      <c r="O50" s="106">
        <f>'Rotor model (SI)'!Q50*CONVERT(1,"kg","lbm")</f>
        <v>0</v>
      </c>
      <c r="P50" s="106">
        <f>'Rotor model (SI)'!R50*CONVERT(1,"kg","lbm")*CONVERT(1,"m","in")^2</f>
        <v>0</v>
      </c>
      <c r="Q50" s="106">
        <f>'Rotor model (SI)'!S50*CONVERT(1,"kg","lbm")*CONVERT(1,"m","in")^2</f>
        <v>0</v>
      </c>
      <c r="U50">
        <f>'Rotor model (SI)'!U50*CONVERT(1,"N","lbf")</f>
        <v>0</v>
      </c>
      <c r="V50">
        <f>'Rotor model (SI)'!V50</f>
        <v>0</v>
      </c>
      <c r="W50">
        <f>'Rotor model (SI)'!W50/25.4</f>
        <v>0</v>
      </c>
      <c r="X50">
        <f>'Rotor model (SI)'!X50</f>
        <v>0</v>
      </c>
      <c r="Y50">
        <f>'Rotor model (SI)'!Y50/25.4</f>
        <v>0</v>
      </c>
      <c r="Z50">
        <f>'Rotor model (SI)'!Z50</f>
        <v>0</v>
      </c>
      <c r="AA50">
        <f>'Rotor model (SI)'!AA50</f>
        <v>0</v>
      </c>
      <c r="AB50">
        <f>'Rotor model (SI)'!AB50</f>
        <v>0</v>
      </c>
      <c r="AC50" s="19">
        <f t="shared" si="11"/>
        <v>42.07800000000001</v>
      </c>
      <c r="AD50">
        <f t="shared" si="12"/>
        <v>2.5386449017512473E-2</v>
      </c>
      <c r="AE50">
        <f t="shared" si="13"/>
        <v>1.0682110017588902</v>
      </c>
      <c r="AF50">
        <f t="shared" si="14"/>
        <v>6.101704420746984E-4</v>
      </c>
      <c r="AG50">
        <f t="shared" si="15"/>
        <v>1.2248089388428057E-2</v>
      </c>
      <c r="AH50">
        <f t="shared" si="16"/>
        <v>0</v>
      </c>
    </row>
    <row r="51" spans="1:35" x14ac:dyDescent="0.25">
      <c r="A51">
        <v>46</v>
      </c>
      <c r="F51">
        <f>'Rotor model (SI)'!H51/25.4</f>
        <v>0</v>
      </c>
      <c r="G51">
        <f>'Rotor model (SI)'!I51/25.4</f>
        <v>0</v>
      </c>
      <c r="H51">
        <f>'Rotor model (SI)'!J51*CONVERT(1,"kg","lbm")/CONVERT(1,"m","in")^3</f>
        <v>0.28299999999999997</v>
      </c>
      <c r="I51">
        <f>'Rotor model (SI)'!K51*1000000000*CONVERT(1,"N","lbf")/CONVERT(1,"m","in")^2</f>
        <v>30000000</v>
      </c>
      <c r="J51">
        <f>'Rotor model (SI)'!L51</f>
        <v>0.3</v>
      </c>
      <c r="K51" s="7">
        <f t="shared" si="7"/>
        <v>0</v>
      </c>
      <c r="L51" s="6">
        <f t="shared" si="8"/>
        <v>0</v>
      </c>
      <c r="M51" s="6">
        <f t="shared" si="9"/>
        <v>0</v>
      </c>
      <c r="N51" s="6">
        <f t="shared" si="10"/>
        <v>0</v>
      </c>
      <c r="O51" s="106">
        <f>'Rotor model (SI)'!Q51*CONVERT(1,"kg","lbm")</f>
        <v>0</v>
      </c>
      <c r="P51" s="106">
        <f>'Rotor model (SI)'!R51*CONVERT(1,"kg","lbm")*CONVERT(1,"m","in")^2</f>
        <v>0</v>
      </c>
      <c r="Q51" s="106">
        <f>'Rotor model (SI)'!S51*CONVERT(1,"kg","lbm")*CONVERT(1,"m","in")^2</f>
        <v>0</v>
      </c>
      <c r="U51">
        <f>'Rotor model (SI)'!U51*CONVERT(1,"N","lbf")</f>
        <v>0</v>
      </c>
      <c r="V51">
        <f>'Rotor model (SI)'!V51</f>
        <v>0</v>
      </c>
      <c r="W51">
        <f>'Rotor model (SI)'!W51/25.4</f>
        <v>0</v>
      </c>
      <c r="X51">
        <f>'Rotor model (SI)'!X51</f>
        <v>0</v>
      </c>
      <c r="Y51">
        <f>'Rotor model (SI)'!Y51/25.4</f>
        <v>0</v>
      </c>
      <c r="Z51">
        <f>'Rotor model (SI)'!Z51</f>
        <v>0</v>
      </c>
      <c r="AA51">
        <f>'Rotor model (SI)'!AA51</f>
        <v>0</v>
      </c>
      <c r="AB51">
        <f>'Rotor model (SI)'!AB51</f>
        <v>0</v>
      </c>
      <c r="AC51" s="19">
        <f t="shared" si="11"/>
        <v>42.07800000000001</v>
      </c>
      <c r="AD51">
        <f t="shared" si="12"/>
        <v>0</v>
      </c>
      <c r="AE51">
        <f t="shared" si="13"/>
        <v>0</v>
      </c>
      <c r="AF51">
        <f t="shared" si="14"/>
        <v>0</v>
      </c>
      <c r="AG51">
        <f t="shared" si="15"/>
        <v>0</v>
      </c>
      <c r="AH51">
        <f t="shared" si="16"/>
        <v>0</v>
      </c>
      <c r="AI51" s="8"/>
    </row>
    <row r="52" spans="1:35" x14ac:dyDescent="0.25">
      <c r="A52">
        <v>47</v>
      </c>
      <c r="F52">
        <f>'Rotor model (SI)'!H52/25.4</f>
        <v>0</v>
      </c>
      <c r="G52">
        <f>'Rotor model (SI)'!I52/25.4</f>
        <v>0</v>
      </c>
      <c r="H52">
        <f>'Rotor model (SI)'!J52*CONVERT(1,"kg","lbm")/CONVERT(1,"m","in")^3</f>
        <v>0.28299999999999997</v>
      </c>
      <c r="I52">
        <f>'Rotor model (SI)'!K52*1000000000*CONVERT(1,"N","lbf")/CONVERT(1,"m","in")^2</f>
        <v>30000000</v>
      </c>
      <c r="J52">
        <f>'Rotor model (SI)'!L52</f>
        <v>0.3</v>
      </c>
      <c r="K52" s="7">
        <f t="shared" si="7"/>
        <v>0</v>
      </c>
      <c r="L52" s="6">
        <f t="shared" si="8"/>
        <v>0</v>
      </c>
      <c r="M52" s="6">
        <f t="shared" si="9"/>
        <v>0</v>
      </c>
      <c r="N52" s="6">
        <f t="shared" si="10"/>
        <v>0</v>
      </c>
      <c r="O52" s="106">
        <f>'Rotor model (SI)'!Q52*CONVERT(1,"kg","lbm")</f>
        <v>0</v>
      </c>
      <c r="P52" s="106">
        <f>'Rotor model (SI)'!R52*CONVERT(1,"kg","lbm")*CONVERT(1,"m","in")^2</f>
        <v>0</v>
      </c>
      <c r="Q52" s="106">
        <f>'Rotor model (SI)'!S52*CONVERT(1,"kg","lbm")*CONVERT(1,"m","in")^2</f>
        <v>0</v>
      </c>
      <c r="U52">
        <f>'Rotor model (SI)'!U52*CONVERT(1,"N","lbf")</f>
        <v>0</v>
      </c>
      <c r="V52">
        <f>'Rotor model (SI)'!V52</f>
        <v>0</v>
      </c>
      <c r="W52">
        <f>'Rotor model (SI)'!W52/25.4</f>
        <v>0</v>
      </c>
      <c r="X52">
        <f>'Rotor model (SI)'!X52</f>
        <v>0</v>
      </c>
      <c r="Y52">
        <f>'Rotor model (SI)'!Y52/25.4</f>
        <v>0</v>
      </c>
      <c r="Z52">
        <f>'Rotor model (SI)'!Z52</f>
        <v>0</v>
      </c>
      <c r="AA52">
        <f>'Rotor model (SI)'!AA52</f>
        <v>0</v>
      </c>
      <c r="AB52">
        <f>'Rotor model (SI)'!AB52</f>
        <v>0</v>
      </c>
      <c r="AC52" s="19">
        <f t="shared" si="11"/>
        <v>42.07800000000001</v>
      </c>
      <c r="AD52">
        <f t="shared" si="12"/>
        <v>0</v>
      </c>
      <c r="AE52">
        <f t="shared" si="13"/>
        <v>0</v>
      </c>
      <c r="AF52">
        <f t="shared" si="14"/>
        <v>0</v>
      </c>
      <c r="AG52">
        <f t="shared" si="15"/>
        <v>0</v>
      </c>
      <c r="AH52">
        <f t="shared" si="16"/>
        <v>0</v>
      </c>
      <c r="AI52" s="19"/>
    </row>
    <row r="53" spans="1:35" x14ac:dyDescent="0.25">
      <c r="A53">
        <v>48</v>
      </c>
      <c r="F53">
        <f>'Rotor model (SI)'!H53/25.4</f>
        <v>0</v>
      </c>
      <c r="G53">
        <f>'Rotor model (SI)'!I53/25.4</f>
        <v>0</v>
      </c>
      <c r="H53">
        <f>'Rotor model (SI)'!J53*CONVERT(1,"kg","lbm")/CONVERT(1,"m","in")^3</f>
        <v>0.28299999999999997</v>
      </c>
      <c r="I53">
        <f>'Rotor model (SI)'!K53*1000000000*CONVERT(1,"N","lbf")/CONVERT(1,"m","in")^2</f>
        <v>30000000</v>
      </c>
      <c r="J53">
        <f>'Rotor model (SI)'!L53</f>
        <v>0.3</v>
      </c>
      <c r="K53" s="7">
        <f t="shared" si="7"/>
        <v>0</v>
      </c>
      <c r="L53" s="6">
        <f t="shared" si="8"/>
        <v>0</v>
      </c>
      <c r="M53" s="6">
        <f t="shared" si="9"/>
        <v>0</v>
      </c>
      <c r="N53" s="6">
        <f t="shared" si="10"/>
        <v>0</v>
      </c>
      <c r="O53" s="106">
        <f>'Rotor model (SI)'!Q53*CONVERT(1,"kg","lbm")</f>
        <v>0</v>
      </c>
      <c r="P53" s="106">
        <f>'Rotor model (SI)'!R53*CONVERT(1,"kg","lbm")*CONVERT(1,"m","in")^2</f>
        <v>0</v>
      </c>
      <c r="Q53" s="106">
        <f>'Rotor model (SI)'!S53*CONVERT(1,"kg","lbm")*CONVERT(1,"m","in")^2</f>
        <v>0</v>
      </c>
      <c r="U53">
        <f>'Rotor model (SI)'!U53*CONVERT(1,"N","lbf")</f>
        <v>0</v>
      </c>
      <c r="V53">
        <f>'Rotor model (SI)'!V53</f>
        <v>0</v>
      </c>
      <c r="W53">
        <f>'Rotor model (SI)'!W53/25.4</f>
        <v>0</v>
      </c>
      <c r="X53">
        <f>'Rotor model (SI)'!X53</f>
        <v>0</v>
      </c>
      <c r="Y53">
        <f>'Rotor model (SI)'!Y53/25.4</f>
        <v>0</v>
      </c>
      <c r="Z53">
        <f>'Rotor model (SI)'!Z53</f>
        <v>0</v>
      </c>
      <c r="AA53">
        <f>'Rotor model (SI)'!AA53</f>
        <v>0</v>
      </c>
      <c r="AB53">
        <f>'Rotor model (SI)'!AB53</f>
        <v>0</v>
      </c>
      <c r="AC53" s="19">
        <f t="shared" si="11"/>
        <v>42.07800000000001</v>
      </c>
      <c r="AD53">
        <f t="shared" si="12"/>
        <v>0</v>
      </c>
      <c r="AE53">
        <f t="shared" si="13"/>
        <v>0</v>
      </c>
      <c r="AF53">
        <f t="shared" si="14"/>
        <v>0</v>
      </c>
      <c r="AG53">
        <f t="shared" si="15"/>
        <v>0</v>
      </c>
      <c r="AH53">
        <f t="shared" si="16"/>
        <v>0</v>
      </c>
    </row>
    <row r="54" spans="1:35" x14ac:dyDescent="0.25">
      <c r="A54">
        <v>49</v>
      </c>
      <c r="F54">
        <f>'Rotor model (SI)'!H54/25.4</f>
        <v>0</v>
      </c>
      <c r="G54">
        <f>'Rotor model (SI)'!I54/25.4</f>
        <v>0</v>
      </c>
      <c r="H54">
        <f>'Rotor model (SI)'!J54*CONVERT(1,"kg","lbm")/CONVERT(1,"m","in")^3</f>
        <v>0.28299999999999997</v>
      </c>
      <c r="I54">
        <f>'Rotor model (SI)'!K54*1000000000*CONVERT(1,"N","lbf")/CONVERT(1,"m","in")^2</f>
        <v>30000000</v>
      </c>
      <c r="J54">
        <f>'Rotor model (SI)'!L54</f>
        <v>0.3</v>
      </c>
      <c r="K54" s="7">
        <f t="shared" si="7"/>
        <v>0</v>
      </c>
      <c r="L54" s="6">
        <f t="shared" si="8"/>
        <v>0</v>
      </c>
      <c r="M54" s="6">
        <f t="shared" si="9"/>
        <v>0</v>
      </c>
      <c r="N54" s="6">
        <f t="shared" si="10"/>
        <v>0</v>
      </c>
      <c r="O54" s="106">
        <f>'Rotor model (SI)'!Q54*CONVERT(1,"kg","lbm")</f>
        <v>0</v>
      </c>
      <c r="P54" s="106">
        <f>'Rotor model (SI)'!R54*CONVERT(1,"kg","lbm")*CONVERT(1,"m","in")^2</f>
        <v>0</v>
      </c>
      <c r="Q54" s="106">
        <f>'Rotor model (SI)'!S54*CONVERT(1,"kg","lbm")*CONVERT(1,"m","in")^2</f>
        <v>0</v>
      </c>
      <c r="U54">
        <f>'Rotor model (SI)'!U54*CONVERT(1,"N","lbf")</f>
        <v>0</v>
      </c>
      <c r="V54">
        <f>'Rotor model (SI)'!V54</f>
        <v>0</v>
      </c>
      <c r="W54">
        <f>'Rotor model (SI)'!W54/25.4</f>
        <v>0</v>
      </c>
      <c r="X54">
        <f>'Rotor model (SI)'!X54</f>
        <v>0</v>
      </c>
      <c r="Y54">
        <f>'Rotor model (SI)'!Y54/25.4</f>
        <v>0</v>
      </c>
      <c r="Z54">
        <f>'Rotor model (SI)'!Z54</f>
        <v>0</v>
      </c>
      <c r="AA54">
        <f>'Rotor model (SI)'!AA54</f>
        <v>0</v>
      </c>
      <c r="AB54">
        <f>'Rotor model (SI)'!AB54</f>
        <v>0</v>
      </c>
      <c r="AC54" s="19">
        <f t="shared" si="11"/>
        <v>42.07800000000001</v>
      </c>
      <c r="AD54">
        <f t="shared" si="12"/>
        <v>0</v>
      </c>
      <c r="AE54">
        <f t="shared" si="13"/>
        <v>0</v>
      </c>
      <c r="AF54">
        <f t="shared" si="14"/>
        <v>0</v>
      </c>
      <c r="AG54">
        <f t="shared" si="15"/>
        <v>0</v>
      </c>
      <c r="AH54">
        <f t="shared" si="16"/>
        <v>0</v>
      </c>
      <c r="AI54" s="8"/>
    </row>
    <row r="55" spans="1:35" x14ac:dyDescent="0.25">
      <c r="A55">
        <v>50</v>
      </c>
      <c r="F55">
        <f>'Rotor model (SI)'!H55/25.4</f>
        <v>0</v>
      </c>
      <c r="G55">
        <f>'Rotor model (SI)'!I55/25.4</f>
        <v>0</v>
      </c>
      <c r="H55">
        <f>'Rotor model (SI)'!J55*CONVERT(1,"kg","lbm")/CONVERT(1,"m","in")^3</f>
        <v>0.28299999999999997</v>
      </c>
      <c r="I55">
        <f>'Rotor model (SI)'!K55*1000000000*CONVERT(1,"N","lbf")/CONVERT(1,"m","in")^2</f>
        <v>30000000</v>
      </c>
      <c r="J55">
        <f>'Rotor model (SI)'!L55</f>
        <v>0.3</v>
      </c>
      <c r="K55" s="7">
        <f t="shared" si="7"/>
        <v>0</v>
      </c>
      <c r="L55" s="6">
        <f t="shared" si="8"/>
        <v>0</v>
      </c>
      <c r="M55" s="6">
        <f t="shared" si="9"/>
        <v>0</v>
      </c>
      <c r="N55" s="6">
        <f t="shared" si="10"/>
        <v>0</v>
      </c>
      <c r="O55" s="106">
        <f>'Rotor model (SI)'!Q55*CONVERT(1,"kg","lbm")</f>
        <v>0</v>
      </c>
      <c r="P55" s="106">
        <f>'Rotor model (SI)'!R55*CONVERT(1,"kg","lbm")*CONVERT(1,"m","in")^2</f>
        <v>0</v>
      </c>
      <c r="Q55" s="106">
        <f>'Rotor model (SI)'!S55*CONVERT(1,"kg","lbm")*CONVERT(1,"m","in")^2</f>
        <v>0</v>
      </c>
      <c r="U55">
        <f>'Rotor model (SI)'!U55*CONVERT(1,"N","lbf")</f>
        <v>0</v>
      </c>
      <c r="V55">
        <f>'Rotor model (SI)'!V55</f>
        <v>0</v>
      </c>
      <c r="W55">
        <f>'Rotor model (SI)'!W55/25.4</f>
        <v>0</v>
      </c>
      <c r="X55">
        <f>'Rotor model (SI)'!X55</f>
        <v>0</v>
      </c>
      <c r="Y55">
        <f>'Rotor model (SI)'!Y55/25.4</f>
        <v>0</v>
      </c>
      <c r="Z55">
        <f>'Rotor model (SI)'!Z55</f>
        <v>0</v>
      </c>
      <c r="AA55">
        <f>'Rotor model (SI)'!AA55</f>
        <v>0</v>
      </c>
      <c r="AB55">
        <f>'Rotor model (SI)'!AB55</f>
        <v>0</v>
      </c>
      <c r="AC55" s="19">
        <f t="shared" si="11"/>
        <v>42.07800000000001</v>
      </c>
      <c r="AD55">
        <f t="shared" si="12"/>
        <v>0</v>
      </c>
      <c r="AE55">
        <f t="shared" si="13"/>
        <v>0</v>
      </c>
      <c r="AF55">
        <f t="shared" si="14"/>
        <v>0</v>
      </c>
      <c r="AG55">
        <f t="shared" si="15"/>
        <v>0</v>
      </c>
      <c r="AH55">
        <f t="shared" si="16"/>
        <v>0</v>
      </c>
      <c r="AI55" s="19"/>
    </row>
    <row r="56" spans="1:35" x14ac:dyDescent="0.25">
      <c r="A56">
        <v>51</v>
      </c>
      <c r="F56">
        <f>'Rotor model (SI)'!H56/25.4</f>
        <v>0</v>
      </c>
      <c r="G56">
        <f>'Rotor model (SI)'!I56/25.4</f>
        <v>0</v>
      </c>
      <c r="H56">
        <f>'Rotor model (SI)'!J56*CONVERT(1,"kg","lbm")/CONVERT(1,"m","in")^3</f>
        <v>0.28299999999999997</v>
      </c>
      <c r="I56">
        <f>'Rotor model (SI)'!K56*1000000000*CONVERT(1,"N","lbf")/CONVERT(1,"m","in")^2</f>
        <v>30000000</v>
      </c>
      <c r="J56">
        <f>'Rotor model (SI)'!L56</f>
        <v>0.3</v>
      </c>
      <c r="K56" s="7">
        <f t="shared" si="7"/>
        <v>0</v>
      </c>
      <c r="L56" s="6">
        <f t="shared" si="8"/>
        <v>0</v>
      </c>
      <c r="M56" s="6">
        <f t="shared" si="9"/>
        <v>0</v>
      </c>
      <c r="N56" s="6">
        <f t="shared" si="10"/>
        <v>0</v>
      </c>
      <c r="O56" s="106">
        <f>'Rotor model (SI)'!Q56*CONVERT(1,"kg","lbm")</f>
        <v>0</v>
      </c>
      <c r="P56" s="106">
        <f>'Rotor model (SI)'!R56*CONVERT(1,"kg","lbm")*CONVERT(1,"m","in")^2</f>
        <v>0</v>
      </c>
      <c r="Q56" s="106">
        <f>'Rotor model (SI)'!S56*CONVERT(1,"kg","lbm")*CONVERT(1,"m","in")^2</f>
        <v>0</v>
      </c>
      <c r="U56">
        <f>'Rotor model (SI)'!U56*CONVERT(1,"N","lbf")</f>
        <v>0</v>
      </c>
      <c r="V56">
        <f>'Rotor model (SI)'!V56</f>
        <v>0</v>
      </c>
      <c r="W56">
        <f>'Rotor model (SI)'!W56/25.4</f>
        <v>0</v>
      </c>
      <c r="X56">
        <f>'Rotor model (SI)'!X56</f>
        <v>0</v>
      </c>
      <c r="Y56">
        <f>'Rotor model (SI)'!Y56/25.4</f>
        <v>0</v>
      </c>
      <c r="Z56">
        <f>'Rotor model (SI)'!Z56</f>
        <v>0</v>
      </c>
      <c r="AA56">
        <f>'Rotor model (SI)'!AA56</f>
        <v>0</v>
      </c>
      <c r="AB56">
        <f>'Rotor model (SI)'!AB56</f>
        <v>0</v>
      </c>
      <c r="AC56" s="19">
        <f t="shared" si="11"/>
        <v>42.07800000000001</v>
      </c>
      <c r="AD56">
        <f t="shared" si="12"/>
        <v>0</v>
      </c>
      <c r="AE56">
        <f t="shared" si="13"/>
        <v>0</v>
      </c>
      <c r="AF56">
        <f t="shared" si="14"/>
        <v>0</v>
      </c>
      <c r="AG56">
        <f t="shared" si="15"/>
        <v>0</v>
      </c>
      <c r="AH56">
        <f t="shared" si="16"/>
        <v>0</v>
      </c>
    </row>
    <row r="57" spans="1:35" x14ac:dyDescent="0.25">
      <c r="A57">
        <v>52</v>
      </c>
      <c r="F57">
        <f>'Rotor model (SI)'!H57/25.4</f>
        <v>0</v>
      </c>
      <c r="G57">
        <f>'Rotor model (SI)'!I57/25.4</f>
        <v>0</v>
      </c>
      <c r="H57">
        <f>'Rotor model (SI)'!J57*CONVERT(1,"kg","lbm")/CONVERT(1,"m","in")^3</f>
        <v>0.28299999999999997</v>
      </c>
      <c r="I57">
        <f>'Rotor model (SI)'!K57*1000000000*CONVERT(1,"N","lbf")/CONVERT(1,"m","in")^2</f>
        <v>30000000</v>
      </c>
      <c r="J57">
        <f>'Rotor model (SI)'!L57</f>
        <v>0.3</v>
      </c>
      <c r="K57" s="7">
        <f t="shared" si="7"/>
        <v>0</v>
      </c>
      <c r="L57" s="6">
        <f t="shared" si="8"/>
        <v>0</v>
      </c>
      <c r="M57" s="6">
        <f t="shared" si="9"/>
        <v>0</v>
      </c>
      <c r="N57" s="6">
        <f t="shared" si="10"/>
        <v>0</v>
      </c>
      <c r="O57" s="106">
        <f>'Rotor model (SI)'!Q57*CONVERT(1,"kg","lbm")</f>
        <v>0</v>
      </c>
      <c r="P57" s="106">
        <f>'Rotor model (SI)'!R57*CONVERT(1,"kg","lbm")*CONVERT(1,"m","in")^2</f>
        <v>0</v>
      </c>
      <c r="Q57" s="106">
        <f>'Rotor model (SI)'!S57*CONVERT(1,"kg","lbm")*CONVERT(1,"m","in")^2</f>
        <v>0</v>
      </c>
      <c r="U57">
        <f>'Rotor model (SI)'!U57*CONVERT(1,"N","lbf")</f>
        <v>0</v>
      </c>
      <c r="V57">
        <f>'Rotor model (SI)'!V57</f>
        <v>0</v>
      </c>
      <c r="W57">
        <f>'Rotor model (SI)'!W57/25.4</f>
        <v>0</v>
      </c>
      <c r="X57">
        <f>'Rotor model (SI)'!X57</f>
        <v>0</v>
      </c>
      <c r="Y57">
        <f>'Rotor model (SI)'!Y57/25.4</f>
        <v>0</v>
      </c>
      <c r="Z57">
        <f>'Rotor model (SI)'!Z57</f>
        <v>0</v>
      </c>
      <c r="AA57">
        <f>'Rotor model (SI)'!AA57</f>
        <v>0</v>
      </c>
      <c r="AB57">
        <f>'Rotor model (SI)'!AB57</f>
        <v>0</v>
      </c>
      <c r="AC57" s="19">
        <f t="shared" si="11"/>
        <v>42.07800000000001</v>
      </c>
      <c r="AD57">
        <f t="shared" si="12"/>
        <v>0</v>
      </c>
      <c r="AE57">
        <f t="shared" si="13"/>
        <v>0</v>
      </c>
      <c r="AF57">
        <f t="shared" si="14"/>
        <v>0</v>
      </c>
      <c r="AG57">
        <f t="shared" si="15"/>
        <v>0</v>
      </c>
      <c r="AH57">
        <f t="shared" si="16"/>
        <v>0</v>
      </c>
    </row>
    <row r="58" spans="1:35" x14ac:dyDescent="0.25">
      <c r="A58">
        <v>53</v>
      </c>
      <c r="F58">
        <f>'Rotor model (SI)'!H58/25.4</f>
        <v>0</v>
      </c>
      <c r="G58">
        <f>'Rotor model (SI)'!I58/25.4</f>
        <v>0</v>
      </c>
      <c r="H58">
        <f>'Rotor model (SI)'!J58*CONVERT(1,"kg","lbm")/CONVERT(1,"m","in")^3</f>
        <v>0.28299999999999997</v>
      </c>
      <c r="I58">
        <f>'Rotor model (SI)'!K58*1000000000*CONVERT(1,"N","lbf")/CONVERT(1,"m","in")^2</f>
        <v>30000000</v>
      </c>
      <c r="J58">
        <f>'Rotor model (SI)'!L58</f>
        <v>0.3</v>
      </c>
      <c r="K58" s="7">
        <f t="shared" si="7"/>
        <v>0</v>
      </c>
      <c r="L58" s="6">
        <f t="shared" si="8"/>
        <v>0</v>
      </c>
      <c r="M58" s="6">
        <f t="shared" si="9"/>
        <v>0</v>
      </c>
      <c r="N58" s="6">
        <f t="shared" si="10"/>
        <v>0</v>
      </c>
      <c r="O58" s="106">
        <f>'Rotor model (SI)'!Q58*CONVERT(1,"kg","lbm")</f>
        <v>0</v>
      </c>
      <c r="P58" s="106">
        <f>'Rotor model (SI)'!R58*CONVERT(1,"kg","lbm")*CONVERT(1,"m","in")^2</f>
        <v>0</v>
      </c>
      <c r="Q58" s="106">
        <f>'Rotor model (SI)'!S58*CONVERT(1,"kg","lbm")*CONVERT(1,"m","in")^2</f>
        <v>0</v>
      </c>
      <c r="U58">
        <f>'Rotor model (SI)'!U58*CONVERT(1,"N","lbf")</f>
        <v>0</v>
      </c>
      <c r="V58">
        <f>'Rotor model (SI)'!V58</f>
        <v>0</v>
      </c>
      <c r="W58">
        <f>'Rotor model (SI)'!W58/25.4</f>
        <v>0</v>
      </c>
      <c r="X58">
        <f>'Rotor model (SI)'!X58</f>
        <v>0</v>
      </c>
      <c r="Y58">
        <f>'Rotor model (SI)'!Y58/25.4</f>
        <v>0</v>
      </c>
      <c r="Z58">
        <f>'Rotor model (SI)'!Z58</f>
        <v>0</v>
      </c>
      <c r="AA58">
        <f>'Rotor model (SI)'!AA58</f>
        <v>0</v>
      </c>
      <c r="AB58">
        <f>'Rotor model (SI)'!AB58</f>
        <v>0</v>
      </c>
      <c r="AC58" s="19">
        <f t="shared" si="11"/>
        <v>42.07800000000001</v>
      </c>
      <c r="AD58">
        <f t="shared" si="12"/>
        <v>0</v>
      </c>
      <c r="AE58">
        <f t="shared" si="13"/>
        <v>0</v>
      </c>
      <c r="AF58">
        <f t="shared" si="14"/>
        <v>0</v>
      </c>
      <c r="AG58">
        <f t="shared" si="15"/>
        <v>0</v>
      </c>
      <c r="AH58">
        <f t="shared" si="16"/>
        <v>0</v>
      </c>
      <c r="AI58" s="8"/>
    </row>
    <row r="59" spans="1:35" x14ac:dyDescent="0.25">
      <c r="A59">
        <v>54</v>
      </c>
      <c r="F59">
        <f>'Rotor model (SI)'!H59/25.4</f>
        <v>0</v>
      </c>
      <c r="G59">
        <f>'Rotor model (SI)'!I59/25.4</f>
        <v>0</v>
      </c>
      <c r="H59">
        <f>'Rotor model (SI)'!J59*CONVERT(1,"kg","lbm")/CONVERT(1,"m","in")^3</f>
        <v>0.28299999999999997</v>
      </c>
      <c r="I59">
        <f>'Rotor model (SI)'!K59*1000000000*CONVERT(1,"N","lbf")/CONVERT(1,"m","in")^2</f>
        <v>30000000</v>
      </c>
      <c r="J59">
        <f>'Rotor model (SI)'!L59</f>
        <v>0.3</v>
      </c>
      <c r="K59" s="7">
        <f t="shared" si="7"/>
        <v>0</v>
      </c>
      <c r="L59" s="6">
        <f t="shared" si="8"/>
        <v>0</v>
      </c>
      <c r="M59" s="6">
        <f t="shared" si="9"/>
        <v>0</v>
      </c>
      <c r="N59" s="6">
        <f t="shared" si="10"/>
        <v>0</v>
      </c>
      <c r="O59" s="106">
        <f>'Rotor model (SI)'!Q59*CONVERT(1,"kg","lbm")</f>
        <v>0</v>
      </c>
      <c r="P59" s="106">
        <f>'Rotor model (SI)'!R59*CONVERT(1,"kg","lbm")*CONVERT(1,"m","in")^2</f>
        <v>0</v>
      </c>
      <c r="Q59" s="106">
        <f>'Rotor model (SI)'!S59*CONVERT(1,"kg","lbm")*CONVERT(1,"m","in")^2</f>
        <v>0</v>
      </c>
      <c r="U59">
        <f>'Rotor model (SI)'!U59*CONVERT(1,"N","lbf")</f>
        <v>0</v>
      </c>
      <c r="V59">
        <f>'Rotor model (SI)'!V59</f>
        <v>0</v>
      </c>
      <c r="W59">
        <f>'Rotor model (SI)'!W59/25.4</f>
        <v>0</v>
      </c>
      <c r="X59">
        <f>'Rotor model (SI)'!X59</f>
        <v>0</v>
      </c>
      <c r="Y59">
        <f>'Rotor model (SI)'!Y59/25.4</f>
        <v>0</v>
      </c>
      <c r="Z59">
        <f>'Rotor model (SI)'!Z59</f>
        <v>0</v>
      </c>
      <c r="AA59">
        <f>'Rotor model (SI)'!AA59</f>
        <v>0</v>
      </c>
      <c r="AB59">
        <f>'Rotor model (SI)'!AB59</f>
        <v>0</v>
      </c>
      <c r="AC59" s="19">
        <f t="shared" si="11"/>
        <v>42.07800000000001</v>
      </c>
      <c r="AD59">
        <f t="shared" si="12"/>
        <v>0</v>
      </c>
      <c r="AE59">
        <f t="shared" si="13"/>
        <v>0</v>
      </c>
      <c r="AF59">
        <f t="shared" si="14"/>
        <v>0</v>
      </c>
      <c r="AG59">
        <f t="shared" si="15"/>
        <v>0</v>
      </c>
      <c r="AH59">
        <f t="shared" si="16"/>
        <v>0</v>
      </c>
      <c r="AI59" s="19"/>
    </row>
    <row r="60" spans="1:35" x14ac:dyDescent="0.25">
      <c r="A60">
        <v>55</v>
      </c>
      <c r="F60">
        <f>'Rotor model (SI)'!H60/25.4</f>
        <v>0</v>
      </c>
      <c r="G60">
        <f>'Rotor model (SI)'!I60/25.4</f>
        <v>0</v>
      </c>
      <c r="H60">
        <f>'Rotor model (SI)'!J60*CONVERT(1,"kg","lbm")/CONVERT(1,"m","in")^3</f>
        <v>0.28299999999999997</v>
      </c>
      <c r="I60">
        <f>'Rotor model (SI)'!K60*1000000000*CONVERT(1,"N","lbf")/CONVERT(1,"m","in")^2</f>
        <v>30000000</v>
      </c>
      <c r="J60">
        <f>'Rotor model (SI)'!L60</f>
        <v>0.3</v>
      </c>
      <c r="K60" s="7">
        <f t="shared" si="7"/>
        <v>0</v>
      </c>
      <c r="L60" s="6">
        <f t="shared" si="8"/>
        <v>0</v>
      </c>
      <c r="M60" s="6">
        <f t="shared" si="9"/>
        <v>0</v>
      </c>
      <c r="N60" s="6">
        <f t="shared" si="10"/>
        <v>0</v>
      </c>
      <c r="O60" s="106">
        <f>'Rotor model (SI)'!Q60*CONVERT(1,"kg","lbm")</f>
        <v>0</v>
      </c>
      <c r="P60" s="106">
        <f>'Rotor model (SI)'!R60*CONVERT(1,"kg","lbm")*CONVERT(1,"m","in")^2</f>
        <v>0</v>
      </c>
      <c r="Q60" s="106">
        <f>'Rotor model (SI)'!S60*CONVERT(1,"kg","lbm")*CONVERT(1,"m","in")^2</f>
        <v>0</v>
      </c>
      <c r="U60">
        <f>'Rotor model (SI)'!U60*CONVERT(1,"N","lbf")</f>
        <v>0</v>
      </c>
      <c r="V60">
        <f>'Rotor model (SI)'!V60</f>
        <v>0</v>
      </c>
      <c r="W60">
        <f>'Rotor model (SI)'!W60/25.4</f>
        <v>0</v>
      </c>
      <c r="X60">
        <f>'Rotor model (SI)'!X60</f>
        <v>0</v>
      </c>
      <c r="Y60">
        <f>'Rotor model (SI)'!Y60/25.4</f>
        <v>0</v>
      </c>
      <c r="Z60">
        <f>'Rotor model (SI)'!Z60</f>
        <v>0</v>
      </c>
      <c r="AA60">
        <f>'Rotor model (SI)'!AA60</f>
        <v>0</v>
      </c>
      <c r="AB60">
        <f>'Rotor model (SI)'!AB60</f>
        <v>0</v>
      </c>
      <c r="AC60" s="19">
        <f t="shared" si="11"/>
        <v>42.07800000000001</v>
      </c>
      <c r="AD60">
        <f t="shared" si="12"/>
        <v>0</v>
      </c>
      <c r="AE60">
        <f t="shared" si="13"/>
        <v>0</v>
      </c>
      <c r="AF60">
        <f t="shared" si="14"/>
        <v>0</v>
      </c>
      <c r="AG60">
        <f t="shared" si="15"/>
        <v>0</v>
      </c>
      <c r="AH60">
        <f t="shared" si="16"/>
        <v>0</v>
      </c>
    </row>
    <row r="61" spans="1:35" x14ac:dyDescent="0.25">
      <c r="A61">
        <v>56</v>
      </c>
      <c r="F61">
        <f>'Rotor model (SI)'!H61/25.4</f>
        <v>0</v>
      </c>
      <c r="G61">
        <f>'Rotor model (SI)'!I61/25.4</f>
        <v>0</v>
      </c>
      <c r="H61">
        <f>'Rotor model (SI)'!J61*CONVERT(1,"kg","lbm")/CONVERT(1,"m","in")^3</f>
        <v>0.28299999999999997</v>
      </c>
      <c r="I61">
        <f>'Rotor model (SI)'!K61*1000000000*CONVERT(1,"N","lbf")/CONVERT(1,"m","in")^2</f>
        <v>30000000</v>
      </c>
      <c r="J61">
        <f>'Rotor model (SI)'!L61</f>
        <v>0.3</v>
      </c>
      <c r="K61" s="7">
        <f t="shared" si="7"/>
        <v>0</v>
      </c>
      <c r="L61" s="6">
        <f t="shared" si="8"/>
        <v>0</v>
      </c>
      <c r="M61" s="6">
        <f t="shared" si="9"/>
        <v>0</v>
      </c>
      <c r="N61" s="6">
        <f t="shared" si="10"/>
        <v>0</v>
      </c>
      <c r="O61" s="106">
        <f>'Rotor model (SI)'!Q61*CONVERT(1,"kg","lbm")</f>
        <v>0</v>
      </c>
      <c r="P61" s="106">
        <f>'Rotor model (SI)'!R61*CONVERT(1,"kg","lbm")*CONVERT(1,"m","in")^2</f>
        <v>0</v>
      </c>
      <c r="Q61" s="106">
        <f>'Rotor model (SI)'!S61*CONVERT(1,"kg","lbm")*CONVERT(1,"m","in")^2</f>
        <v>0</v>
      </c>
      <c r="U61">
        <f>'Rotor model (SI)'!U61*CONVERT(1,"N","lbf")</f>
        <v>0</v>
      </c>
      <c r="V61">
        <f>'Rotor model (SI)'!V61</f>
        <v>0</v>
      </c>
      <c r="W61">
        <f>'Rotor model (SI)'!W61/25.4</f>
        <v>0</v>
      </c>
      <c r="X61">
        <f>'Rotor model (SI)'!X61</f>
        <v>0</v>
      </c>
      <c r="Y61">
        <f>'Rotor model (SI)'!Y61/25.4</f>
        <v>0</v>
      </c>
      <c r="Z61">
        <f>'Rotor model (SI)'!Z61</f>
        <v>0</v>
      </c>
      <c r="AA61">
        <f>'Rotor model (SI)'!AA61</f>
        <v>0</v>
      </c>
      <c r="AB61">
        <f>'Rotor model (SI)'!AB61</f>
        <v>0</v>
      </c>
      <c r="AC61" s="19">
        <f t="shared" si="11"/>
        <v>42.07800000000001</v>
      </c>
      <c r="AD61">
        <f t="shared" si="12"/>
        <v>0</v>
      </c>
      <c r="AE61">
        <f t="shared" si="13"/>
        <v>0</v>
      </c>
      <c r="AF61">
        <f t="shared" si="14"/>
        <v>0</v>
      </c>
      <c r="AG61">
        <f t="shared" si="15"/>
        <v>0</v>
      </c>
      <c r="AH61">
        <f t="shared" si="16"/>
        <v>0</v>
      </c>
      <c r="AI61" s="8"/>
    </row>
    <row r="62" spans="1:35" x14ac:dyDescent="0.25">
      <c r="A62">
        <v>57</v>
      </c>
      <c r="F62">
        <f>'Rotor model (SI)'!H62/25.4</f>
        <v>0</v>
      </c>
      <c r="G62">
        <f>'Rotor model (SI)'!I62/25.4</f>
        <v>0</v>
      </c>
      <c r="H62">
        <f>'Rotor model (SI)'!J62*CONVERT(1,"kg","lbm")/CONVERT(1,"m","in")^3</f>
        <v>0.28299999999999997</v>
      </c>
      <c r="I62">
        <f>'Rotor model (SI)'!K62*1000000000*CONVERT(1,"N","lbf")/CONVERT(1,"m","in")^2</f>
        <v>30000000</v>
      </c>
      <c r="J62">
        <f>'Rotor model (SI)'!L62</f>
        <v>0.3</v>
      </c>
      <c r="K62" s="7">
        <f t="shared" si="7"/>
        <v>0</v>
      </c>
      <c r="L62" s="6">
        <f t="shared" si="8"/>
        <v>0</v>
      </c>
      <c r="M62" s="6">
        <f t="shared" si="9"/>
        <v>0</v>
      </c>
      <c r="N62" s="6">
        <f t="shared" si="10"/>
        <v>0</v>
      </c>
      <c r="O62" s="106">
        <f>'Rotor model (SI)'!Q62*CONVERT(1,"kg","lbm")</f>
        <v>0</v>
      </c>
      <c r="P62" s="106">
        <f>'Rotor model (SI)'!R62*CONVERT(1,"kg","lbm")*CONVERT(1,"m","in")^2</f>
        <v>0</v>
      </c>
      <c r="Q62" s="106">
        <f>'Rotor model (SI)'!S62*CONVERT(1,"kg","lbm")*CONVERT(1,"m","in")^2</f>
        <v>0</v>
      </c>
      <c r="U62">
        <f>'Rotor model (SI)'!U62*CONVERT(1,"N","lbf")</f>
        <v>0</v>
      </c>
      <c r="V62">
        <f>'Rotor model (SI)'!V62</f>
        <v>0</v>
      </c>
      <c r="W62">
        <f>'Rotor model (SI)'!W62/25.4</f>
        <v>0</v>
      </c>
      <c r="X62">
        <f>'Rotor model (SI)'!X62</f>
        <v>0</v>
      </c>
      <c r="Y62">
        <f>'Rotor model (SI)'!Y62/25.4</f>
        <v>0</v>
      </c>
      <c r="Z62">
        <f>'Rotor model (SI)'!Z62</f>
        <v>0</v>
      </c>
      <c r="AA62">
        <f>'Rotor model (SI)'!AA62</f>
        <v>0</v>
      </c>
      <c r="AB62">
        <f>'Rotor model (SI)'!AB62</f>
        <v>0</v>
      </c>
      <c r="AC62" s="19">
        <f t="shared" si="11"/>
        <v>42.07800000000001</v>
      </c>
      <c r="AD62">
        <f t="shared" si="12"/>
        <v>0</v>
      </c>
      <c r="AE62">
        <f t="shared" si="13"/>
        <v>0</v>
      </c>
      <c r="AF62">
        <f t="shared" si="14"/>
        <v>0</v>
      </c>
      <c r="AG62">
        <f t="shared" si="15"/>
        <v>0</v>
      </c>
      <c r="AH62">
        <f t="shared" si="16"/>
        <v>0</v>
      </c>
      <c r="AI62" s="19"/>
    </row>
    <row r="63" spans="1:35" x14ac:dyDescent="0.25">
      <c r="A63">
        <v>58</v>
      </c>
      <c r="F63">
        <f>'Rotor model (SI)'!H63/25.4</f>
        <v>0</v>
      </c>
      <c r="G63">
        <f>'Rotor model (SI)'!I63/25.4</f>
        <v>0</v>
      </c>
      <c r="H63">
        <f>'Rotor model (SI)'!J63*CONVERT(1,"kg","lbm")/CONVERT(1,"m","in")^3</f>
        <v>0.28299999999999997</v>
      </c>
      <c r="I63">
        <f>'Rotor model (SI)'!K63*1000000000*CONVERT(1,"N","lbf")/CONVERT(1,"m","in")^2</f>
        <v>30000000</v>
      </c>
      <c r="J63">
        <f>'Rotor model (SI)'!L63</f>
        <v>0.3</v>
      </c>
      <c r="K63" s="7">
        <f t="shared" si="7"/>
        <v>0</v>
      </c>
      <c r="L63" s="6">
        <f t="shared" si="8"/>
        <v>0</v>
      </c>
      <c r="M63" s="6">
        <f t="shared" si="9"/>
        <v>0</v>
      </c>
      <c r="N63" s="6">
        <f t="shared" si="10"/>
        <v>0</v>
      </c>
      <c r="O63" s="106">
        <f>'Rotor model (SI)'!Q63*CONVERT(1,"kg","lbm")</f>
        <v>0</v>
      </c>
      <c r="P63" s="106">
        <f>'Rotor model (SI)'!R63*CONVERT(1,"kg","lbm")*CONVERT(1,"m","in")^2</f>
        <v>0</v>
      </c>
      <c r="Q63" s="106">
        <f>'Rotor model (SI)'!S63*CONVERT(1,"kg","lbm")*CONVERT(1,"m","in")^2</f>
        <v>0</v>
      </c>
      <c r="U63">
        <f>'Rotor model (SI)'!U63*CONVERT(1,"N","lbf")</f>
        <v>0</v>
      </c>
      <c r="V63">
        <f>'Rotor model (SI)'!V63</f>
        <v>0</v>
      </c>
      <c r="W63">
        <f>'Rotor model (SI)'!W63/25.4</f>
        <v>0</v>
      </c>
      <c r="X63">
        <f>'Rotor model (SI)'!X63</f>
        <v>0</v>
      </c>
      <c r="Y63">
        <f>'Rotor model (SI)'!Y63/25.4</f>
        <v>0</v>
      </c>
      <c r="Z63">
        <f>'Rotor model (SI)'!Z63</f>
        <v>0</v>
      </c>
      <c r="AA63">
        <f>'Rotor model (SI)'!AA63</f>
        <v>0</v>
      </c>
      <c r="AB63">
        <f>'Rotor model (SI)'!AB63</f>
        <v>0</v>
      </c>
      <c r="AC63" s="19">
        <f t="shared" si="11"/>
        <v>42.07800000000001</v>
      </c>
      <c r="AD63">
        <f t="shared" si="12"/>
        <v>0</v>
      </c>
      <c r="AE63">
        <f t="shared" si="13"/>
        <v>0</v>
      </c>
      <c r="AF63">
        <f t="shared" si="14"/>
        <v>0</v>
      </c>
      <c r="AG63">
        <f t="shared" si="15"/>
        <v>0</v>
      </c>
      <c r="AH63">
        <f t="shared" si="16"/>
        <v>0</v>
      </c>
    </row>
    <row r="64" spans="1:35" x14ac:dyDescent="0.25">
      <c r="A64">
        <v>59</v>
      </c>
      <c r="F64">
        <f>'Rotor model (SI)'!H64/25.4</f>
        <v>0</v>
      </c>
      <c r="G64">
        <f>'Rotor model (SI)'!I64/25.4</f>
        <v>0</v>
      </c>
      <c r="H64">
        <f>'Rotor model (SI)'!J64*CONVERT(1,"kg","lbm")/CONVERT(1,"m","in")^3</f>
        <v>0.28299999999999997</v>
      </c>
      <c r="I64">
        <f>'Rotor model (SI)'!K64*1000000000*CONVERT(1,"N","lbf")/CONVERT(1,"m","in")^2</f>
        <v>30000000</v>
      </c>
      <c r="J64">
        <f>'Rotor model (SI)'!L64</f>
        <v>0.3</v>
      </c>
      <c r="K64" s="7">
        <f t="shared" si="7"/>
        <v>0</v>
      </c>
      <c r="L64" s="6">
        <f t="shared" si="8"/>
        <v>0</v>
      </c>
      <c r="M64" s="6">
        <f t="shared" si="9"/>
        <v>0</v>
      </c>
      <c r="N64" s="6">
        <f t="shared" si="10"/>
        <v>0</v>
      </c>
      <c r="O64" s="106">
        <f>'Rotor model (SI)'!Q64*CONVERT(1,"kg","lbm")</f>
        <v>0</v>
      </c>
      <c r="P64" s="106">
        <f>'Rotor model (SI)'!R64*CONVERT(1,"kg","lbm")*CONVERT(1,"m","in")^2</f>
        <v>0</v>
      </c>
      <c r="Q64" s="106">
        <f>'Rotor model (SI)'!S64*CONVERT(1,"kg","lbm")*CONVERT(1,"m","in")^2</f>
        <v>0</v>
      </c>
      <c r="U64">
        <f>'Rotor model (SI)'!U64*CONVERT(1,"N","lbf")</f>
        <v>0</v>
      </c>
      <c r="V64">
        <f>'Rotor model (SI)'!V64</f>
        <v>0</v>
      </c>
      <c r="W64">
        <f>'Rotor model (SI)'!W64/25.4</f>
        <v>0</v>
      </c>
      <c r="X64">
        <f>'Rotor model (SI)'!X64</f>
        <v>0</v>
      </c>
      <c r="Y64">
        <f>'Rotor model (SI)'!Y64/25.4</f>
        <v>0</v>
      </c>
      <c r="Z64">
        <f>'Rotor model (SI)'!Z64</f>
        <v>0</v>
      </c>
      <c r="AA64">
        <f>'Rotor model (SI)'!AA64</f>
        <v>0</v>
      </c>
      <c r="AB64">
        <f>'Rotor model (SI)'!AB64</f>
        <v>0</v>
      </c>
      <c r="AC64" s="19">
        <f t="shared" si="11"/>
        <v>42.07800000000001</v>
      </c>
      <c r="AD64">
        <f t="shared" si="12"/>
        <v>0</v>
      </c>
      <c r="AE64">
        <f t="shared" si="13"/>
        <v>0</v>
      </c>
      <c r="AF64">
        <f t="shared" si="14"/>
        <v>0</v>
      </c>
      <c r="AG64">
        <f t="shared" si="15"/>
        <v>0</v>
      </c>
      <c r="AH64">
        <f t="shared" si="16"/>
        <v>0</v>
      </c>
    </row>
    <row r="65" spans="1:34" x14ac:dyDescent="0.25">
      <c r="A65">
        <v>60</v>
      </c>
      <c r="F65">
        <f>'Rotor model (SI)'!H65/25.4</f>
        <v>0</v>
      </c>
      <c r="G65">
        <f>'Rotor model (SI)'!I65/25.4</f>
        <v>0</v>
      </c>
      <c r="H65">
        <f>'Rotor model (SI)'!J65*CONVERT(1,"kg","lbm")/CONVERT(1,"m","in")^3</f>
        <v>0.28299999999999997</v>
      </c>
      <c r="I65">
        <f>'Rotor model (SI)'!K65*1000000000*CONVERT(1,"N","lbf")/CONVERT(1,"m","in")^2</f>
        <v>30000000</v>
      </c>
      <c r="J65">
        <f>'Rotor model (SI)'!L65</f>
        <v>0.3</v>
      </c>
      <c r="K65" s="7">
        <f t="shared" si="7"/>
        <v>0</v>
      </c>
      <c r="L65" s="6">
        <f t="shared" si="8"/>
        <v>0</v>
      </c>
      <c r="M65" s="6">
        <f t="shared" si="9"/>
        <v>0</v>
      </c>
      <c r="N65" s="6">
        <f t="shared" si="10"/>
        <v>0</v>
      </c>
      <c r="O65" s="106">
        <f>'Rotor model (SI)'!Q65*CONVERT(1,"kg","lbm")</f>
        <v>0</v>
      </c>
      <c r="P65" s="106">
        <f>'Rotor model (SI)'!R65*CONVERT(1,"kg","lbm")*CONVERT(1,"m","in")^2</f>
        <v>0</v>
      </c>
      <c r="Q65" s="106">
        <f>'Rotor model (SI)'!S65*CONVERT(1,"kg","lbm")*CONVERT(1,"m","in")^2</f>
        <v>0</v>
      </c>
      <c r="U65">
        <f>'Rotor model (SI)'!U65*CONVERT(1,"N","lbf")</f>
        <v>0</v>
      </c>
      <c r="V65">
        <f>'Rotor model (SI)'!V65</f>
        <v>0</v>
      </c>
      <c r="W65">
        <f>'Rotor model (SI)'!W65/25.4</f>
        <v>0</v>
      </c>
      <c r="X65">
        <f>'Rotor model (SI)'!X65</f>
        <v>0</v>
      </c>
      <c r="Y65">
        <f>'Rotor model (SI)'!Y65/25.4</f>
        <v>0</v>
      </c>
      <c r="Z65">
        <f>'Rotor model (SI)'!Z65</f>
        <v>0</v>
      </c>
      <c r="AA65">
        <f>'Rotor model (SI)'!AA65</f>
        <v>0</v>
      </c>
      <c r="AB65">
        <f>'Rotor model (SI)'!AB65</f>
        <v>0</v>
      </c>
      <c r="AC65" s="19">
        <f t="shared" si="11"/>
        <v>42.07800000000001</v>
      </c>
      <c r="AD65">
        <f t="shared" si="12"/>
        <v>0</v>
      </c>
      <c r="AE65">
        <f t="shared" si="13"/>
        <v>0</v>
      </c>
      <c r="AF65">
        <f t="shared" si="14"/>
        <v>0</v>
      </c>
      <c r="AG65">
        <f t="shared" si="15"/>
        <v>0</v>
      </c>
      <c r="AH65">
        <f t="shared" si="16"/>
        <v>0</v>
      </c>
    </row>
    <row r="66" spans="1:34" x14ac:dyDescent="0.25">
      <c r="A66">
        <v>61</v>
      </c>
      <c r="F66">
        <f>'Rotor model (SI)'!H66/25.4</f>
        <v>0</v>
      </c>
      <c r="G66">
        <f>'Rotor model (SI)'!I66/25.4</f>
        <v>0</v>
      </c>
      <c r="H66">
        <f>'Rotor model (SI)'!J66*CONVERT(1,"kg","lbm")/CONVERT(1,"m","in")^3</f>
        <v>0.28299999999999997</v>
      </c>
      <c r="I66">
        <f>'Rotor model (SI)'!K66*1000000000*CONVERT(1,"N","lbf")/CONVERT(1,"m","in")^2</f>
        <v>30000000</v>
      </c>
      <c r="J66">
        <f>'Rotor model (SI)'!L66</f>
        <v>0.3</v>
      </c>
      <c r="K66" s="7">
        <f t="shared" si="7"/>
        <v>0</v>
      </c>
      <c r="L66" s="6">
        <f t="shared" si="8"/>
        <v>0</v>
      </c>
      <c r="M66" s="6">
        <f t="shared" si="9"/>
        <v>0</v>
      </c>
      <c r="N66" s="6">
        <f t="shared" si="10"/>
        <v>0</v>
      </c>
      <c r="O66" s="106">
        <f>'Rotor model (SI)'!Q66*CONVERT(1,"kg","lbm")</f>
        <v>0</v>
      </c>
      <c r="P66" s="106">
        <f>'Rotor model (SI)'!R66*CONVERT(1,"kg","lbm")*CONVERT(1,"m","in")^2</f>
        <v>0</v>
      </c>
      <c r="Q66" s="106">
        <f>'Rotor model (SI)'!S66*CONVERT(1,"kg","lbm")*CONVERT(1,"m","in")^2</f>
        <v>0</v>
      </c>
      <c r="U66">
        <f>'Rotor model (SI)'!U66*CONVERT(1,"N","lbf")</f>
        <v>0</v>
      </c>
      <c r="V66">
        <f>'Rotor model (SI)'!V66</f>
        <v>0</v>
      </c>
      <c r="W66">
        <f>'Rotor model (SI)'!W66/25.4</f>
        <v>0</v>
      </c>
      <c r="X66">
        <f>'Rotor model (SI)'!X66</f>
        <v>0</v>
      </c>
      <c r="Y66">
        <f>'Rotor model (SI)'!Y66/25.4</f>
        <v>0</v>
      </c>
      <c r="Z66">
        <f>'Rotor model (SI)'!Z66</f>
        <v>0</v>
      </c>
      <c r="AA66">
        <f>'Rotor model (SI)'!AA66</f>
        <v>0</v>
      </c>
      <c r="AB66">
        <f>'Rotor model (SI)'!AB66</f>
        <v>0</v>
      </c>
      <c r="AC66" s="19">
        <f t="shared" si="11"/>
        <v>42.07800000000001</v>
      </c>
      <c r="AD66">
        <f t="shared" si="12"/>
        <v>0</v>
      </c>
      <c r="AE66">
        <f t="shared" si="13"/>
        <v>0</v>
      </c>
      <c r="AF66">
        <f t="shared" si="14"/>
        <v>0</v>
      </c>
      <c r="AG66">
        <f t="shared" si="15"/>
        <v>0</v>
      </c>
      <c r="AH66">
        <f t="shared" si="16"/>
        <v>0</v>
      </c>
    </row>
    <row r="67" spans="1:34" x14ac:dyDescent="0.25">
      <c r="A67">
        <v>62</v>
      </c>
      <c r="F67">
        <f>'Rotor model (SI)'!H67/25.4</f>
        <v>0</v>
      </c>
      <c r="G67">
        <f>'Rotor model (SI)'!I67/25.4</f>
        <v>0</v>
      </c>
      <c r="H67">
        <f>'Rotor model (SI)'!J67*CONVERT(1,"kg","lbm")/CONVERT(1,"m","in")^3</f>
        <v>0.28299999999999997</v>
      </c>
      <c r="I67">
        <f>'Rotor model (SI)'!K67*1000000000*CONVERT(1,"N","lbf")/CONVERT(1,"m","in")^2</f>
        <v>30000000</v>
      </c>
      <c r="J67">
        <f>'Rotor model (SI)'!L67</f>
        <v>0.3</v>
      </c>
      <c r="K67" s="7">
        <f t="shared" si="7"/>
        <v>0</v>
      </c>
      <c r="L67" s="6">
        <f t="shared" si="8"/>
        <v>0</v>
      </c>
      <c r="M67" s="6">
        <f t="shared" si="9"/>
        <v>0</v>
      </c>
      <c r="N67" s="6">
        <f t="shared" si="10"/>
        <v>0</v>
      </c>
      <c r="O67" s="106">
        <f>'Rotor model (SI)'!Q67*CONVERT(1,"kg","lbm")</f>
        <v>0</v>
      </c>
      <c r="P67" s="106">
        <f>'Rotor model (SI)'!R67*CONVERT(1,"kg","lbm")*CONVERT(1,"m","in")^2</f>
        <v>0</v>
      </c>
      <c r="Q67" s="106">
        <f>'Rotor model (SI)'!S67*CONVERT(1,"kg","lbm")*CONVERT(1,"m","in")^2</f>
        <v>0</v>
      </c>
      <c r="U67">
        <f>'Rotor model (SI)'!U67*CONVERT(1,"N","lbf")</f>
        <v>0</v>
      </c>
      <c r="V67">
        <f>'Rotor model (SI)'!V67</f>
        <v>0</v>
      </c>
      <c r="W67">
        <f>'Rotor model (SI)'!W67/25.4</f>
        <v>0</v>
      </c>
      <c r="X67">
        <f>'Rotor model (SI)'!X67</f>
        <v>0</v>
      </c>
      <c r="Y67">
        <f>'Rotor model (SI)'!Y67/25.4</f>
        <v>0</v>
      </c>
      <c r="Z67">
        <f>'Rotor model (SI)'!Z67</f>
        <v>0</v>
      </c>
      <c r="AA67">
        <f>'Rotor model (SI)'!AA67</f>
        <v>0</v>
      </c>
      <c r="AB67">
        <f>'Rotor model (SI)'!AB67</f>
        <v>0</v>
      </c>
      <c r="AC67" s="19">
        <f t="shared" si="11"/>
        <v>42.07800000000001</v>
      </c>
      <c r="AD67">
        <f t="shared" si="12"/>
        <v>0</v>
      </c>
      <c r="AE67">
        <f t="shared" si="13"/>
        <v>0</v>
      </c>
      <c r="AF67">
        <f t="shared" si="14"/>
        <v>0</v>
      </c>
      <c r="AG67">
        <f t="shared" si="15"/>
        <v>0</v>
      </c>
      <c r="AH67">
        <f t="shared" si="16"/>
        <v>0</v>
      </c>
    </row>
    <row r="68" spans="1:34" x14ac:dyDescent="0.25">
      <c r="A68">
        <v>63</v>
      </c>
      <c r="F68">
        <f>'Rotor model (SI)'!H68/25.4</f>
        <v>0</v>
      </c>
      <c r="G68">
        <f>'Rotor model (SI)'!I68/25.4</f>
        <v>0</v>
      </c>
      <c r="H68">
        <f>'Rotor model (SI)'!J68*CONVERT(1,"kg","lbm")/CONVERT(1,"m","in")^3</f>
        <v>0.28299999999999997</v>
      </c>
      <c r="I68">
        <f>'Rotor model (SI)'!K68*1000000000*CONVERT(1,"N","lbf")/CONVERT(1,"m","in")^2</f>
        <v>30000000</v>
      </c>
      <c r="J68">
        <f>'Rotor model (SI)'!L68</f>
        <v>0.3</v>
      </c>
      <c r="K68" s="7">
        <f t="shared" si="7"/>
        <v>0</v>
      </c>
      <c r="L68" s="6">
        <f t="shared" si="8"/>
        <v>0</v>
      </c>
      <c r="M68" s="6">
        <f t="shared" si="9"/>
        <v>0</v>
      </c>
      <c r="N68" s="6">
        <f t="shared" si="10"/>
        <v>0</v>
      </c>
      <c r="O68" s="106">
        <f>'Rotor model (SI)'!Q68*CONVERT(1,"kg","lbm")</f>
        <v>0</v>
      </c>
      <c r="P68" s="106">
        <f>'Rotor model (SI)'!R68*CONVERT(1,"kg","lbm")*CONVERT(1,"m","in")^2</f>
        <v>0</v>
      </c>
      <c r="Q68" s="106">
        <f>'Rotor model (SI)'!S68*CONVERT(1,"kg","lbm")*CONVERT(1,"m","in")^2</f>
        <v>0</v>
      </c>
      <c r="U68">
        <f>'Rotor model (SI)'!U68*CONVERT(1,"N","lbf")</f>
        <v>0</v>
      </c>
      <c r="V68">
        <f>'Rotor model (SI)'!V68</f>
        <v>0</v>
      </c>
      <c r="W68">
        <f>'Rotor model (SI)'!W68/25.4</f>
        <v>0</v>
      </c>
      <c r="X68">
        <f>'Rotor model (SI)'!X68</f>
        <v>0</v>
      </c>
      <c r="Y68">
        <f>'Rotor model (SI)'!Y68/25.4</f>
        <v>0</v>
      </c>
      <c r="Z68">
        <f>'Rotor model (SI)'!Z68</f>
        <v>0</v>
      </c>
      <c r="AA68">
        <f>'Rotor model (SI)'!AA68</f>
        <v>0</v>
      </c>
      <c r="AB68">
        <f>'Rotor model (SI)'!AB68</f>
        <v>0</v>
      </c>
      <c r="AC68" s="19">
        <f t="shared" si="11"/>
        <v>42.07800000000001</v>
      </c>
      <c r="AD68">
        <f t="shared" si="12"/>
        <v>0</v>
      </c>
      <c r="AE68">
        <f t="shared" si="13"/>
        <v>0</v>
      </c>
      <c r="AF68">
        <f t="shared" si="14"/>
        <v>0</v>
      </c>
      <c r="AG68">
        <f t="shared" si="15"/>
        <v>0</v>
      </c>
      <c r="AH68">
        <f t="shared" si="16"/>
        <v>0</v>
      </c>
    </row>
    <row r="69" spans="1:34" x14ac:dyDescent="0.25">
      <c r="A69">
        <v>64</v>
      </c>
      <c r="F69">
        <f>'Rotor model (SI)'!H69/25.4</f>
        <v>0</v>
      </c>
      <c r="G69">
        <f>'Rotor model (SI)'!I69/25.4</f>
        <v>0</v>
      </c>
      <c r="H69">
        <f>'Rotor model (SI)'!J69*CONVERT(1,"kg","lbm")/CONVERT(1,"m","in")^3</f>
        <v>0.28299999999999997</v>
      </c>
      <c r="I69">
        <f>'Rotor model (SI)'!K69*1000000000*CONVERT(1,"N","lbf")/CONVERT(1,"m","in")^2</f>
        <v>30000000</v>
      </c>
      <c r="J69">
        <f>'Rotor model (SI)'!L69</f>
        <v>0.3</v>
      </c>
      <c r="K69" s="7">
        <f t="shared" si="7"/>
        <v>0</v>
      </c>
      <c r="L69" s="6">
        <f t="shared" si="8"/>
        <v>0</v>
      </c>
      <c r="M69" s="6">
        <f t="shared" si="9"/>
        <v>0</v>
      </c>
      <c r="N69" s="6">
        <f t="shared" si="10"/>
        <v>0</v>
      </c>
      <c r="O69" s="106">
        <f>'Rotor model (SI)'!Q69*CONVERT(1,"kg","lbm")</f>
        <v>0</v>
      </c>
      <c r="P69" s="106">
        <f>'Rotor model (SI)'!R69*CONVERT(1,"kg","lbm")*CONVERT(1,"m","in")^2</f>
        <v>0</v>
      </c>
      <c r="Q69" s="106">
        <f>'Rotor model (SI)'!S69*CONVERT(1,"kg","lbm")*CONVERT(1,"m","in")^2</f>
        <v>0</v>
      </c>
      <c r="U69">
        <f>'Rotor model (SI)'!U69*CONVERT(1,"N","lbf")</f>
        <v>0</v>
      </c>
      <c r="V69">
        <f>'Rotor model (SI)'!V69</f>
        <v>0</v>
      </c>
      <c r="W69">
        <f>'Rotor model (SI)'!W69/25.4</f>
        <v>0</v>
      </c>
      <c r="X69">
        <f>'Rotor model (SI)'!X69</f>
        <v>0</v>
      </c>
      <c r="Y69">
        <f>'Rotor model (SI)'!Y69/25.4</f>
        <v>0</v>
      </c>
      <c r="Z69">
        <f>'Rotor model (SI)'!Z69</f>
        <v>0</v>
      </c>
      <c r="AA69">
        <f>'Rotor model (SI)'!AA69</f>
        <v>0</v>
      </c>
      <c r="AB69">
        <f>'Rotor model (SI)'!AB69</f>
        <v>0</v>
      </c>
      <c r="AC69" s="19">
        <f t="shared" si="11"/>
        <v>42.07800000000001</v>
      </c>
      <c r="AD69">
        <f t="shared" si="12"/>
        <v>0</v>
      </c>
      <c r="AE69">
        <f t="shared" si="13"/>
        <v>0</v>
      </c>
      <c r="AF69">
        <f t="shared" si="14"/>
        <v>0</v>
      </c>
      <c r="AG69">
        <f t="shared" si="15"/>
        <v>0</v>
      </c>
      <c r="AH69">
        <f t="shared" si="16"/>
        <v>0</v>
      </c>
    </row>
    <row r="70" spans="1:34" x14ac:dyDescent="0.25">
      <c r="A70">
        <v>65</v>
      </c>
      <c r="F70">
        <f>'Rotor model (SI)'!H70/25.4</f>
        <v>0</v>
      </c>
      <c r="G70">
        <f>'Rotor model (SI)'!I70/25.4</f>
        <v>0</v>
      </c>
      <c r="H70">
        <f>'Rotor model (SI)'!J70*CONVERT(1,"kg","lbm")/CONVERT(1,"m","in")^3</f>
        <v>0.28299999999999997</v>
      </c>
      <c r="I70">
        <f>'Rotor model (SI)'!K70*1000000000*CONVERT(1,"N","lbf")/CONVERT(1,"m","in")^2</f>
        <v>30000000</v>
      </c>
      <c r="J70">
        <f>'Rotor model (SI)'!L70</f>
        <v>0.3</v>
      </c>
      <c r="K70" s="7">
        <f t="shared" si="7"/>
        <v>0</v>
      </c>
      <c r="L70" s="6">
        <f t="shared" si="8"/>
        <v>0</v>
      </c>
      <c r="M70" s="6">
        <f t="shared" si="9"/>
        <v>0</v>
      </c>
      <c r="N70" s="6">
        <f t="shared" si="10"/>
        <v>0</v>
      </c>
      <c r="O70" s="106">
        <f>'Rotor model (SI)'!Q70*CONVERT(1,"kg","lbm")</f>
        <v>0</v>
      </c>
      <c r="P70" s="106">
        <f>'Rotor model (SI)'!R70*CONVERT(1,"kg","lbm")*CONVERT(1,"m","in")^2</f>
        <v>0</v>
      </c>
      <c r="Q70" s="106">
        <f>'Rotor model (SI)'!S70*CONVERT(1,"kg","lbm")*CONVERT(1,"m","in")^2</f>
        <v>0</v>
      </c>
      <c r="U70">
        <f>'Rotor model (SI)'!U70*CONVERT(1,"N","lbf")</f>
        <v>0</v>
      </c>
      <c r="V70">
        <f>'Rotor model (SI)'!V70</f>
        <v>0</v>
      </c>
      <c r="W70">
        <f>'Rotor model (SI)'!W70/25.4</f>
        <v>0</v>
      </c>
      <c r="X70">
        <f>'Rotor model (SI)'!X70</f>
        <v>0</v>
      </c>
      <c r="Y70">
        <f>'Rotor model (SI)'!Y70/25.4</f>
        <v>0</v>
      </c>
      <c r="Z70">
        <f>'Rotor model (SI)'!Z70</f>
        <v>0</v>
      </c>
      <c r="AA70">
        <f>'Rotor model (SI)'!AA70</f>
        <v>0</v>
      </c>
      <c r="AB70">
        <f>'Rotor model (SI)'!AB70</f>
        <v>0</v>
      </c>
      <c r="AC70" s="19">
        <f t="shared" si="11"/>
        <v>42.07800000000001</v>
      </c>
      <c r="AD70">
        <f t="shared" si="12"/>
        <v>0</v>
      </c>
      <c r="AE70">
        <f t="shared" si="13"/>
        <v>0</v>
      </c>
      <c r="AF70">
        <f t="shared" si="14"/>
        <v>0</v>
      </c>
      <c r="AG70">
        <f t="shared" si="15"/>
        <v>0</v>
      </c>
      <c r="AH70">
        <f t="shared" si="16"/>
        <v>0</v>
      </c>
    </row>
    <row r="71" spans="1:34" x14ac:dyDescent="0.25">
      <c r="A71">
        <v>66</v>
      </c>
      <c r="F71">
        <f>'Rotor model (SI)'!H71/25.4</f>
        <v>0</v>
      </c>
      <c r="G71">
        <f>'Rotor model (SI)'!I71/25.4</f>
        <v>0</v>
      </c>
      <c r="H71">
        <f>'Rotor model (SI)'!J71*CONVERT(1,"kg","lbm")/CONVERT(1,"m","in")^3</f>
        <v>0.28299999999999997</v>
      </c>
      <c r="I71">
        <f>'Rotor model (SI)'!K71*1000000000*CONVERT(1,"N","lbf")/CONVERT(1,"m","in")^2</f>
        <v>30000000</v>
      </c>
      <c r="J71">
        <f>'Rotor model (SI)'!L71</f>
        <v>0.3</v>
      </c>
      <c r="K71" s="7">
        <f t="shared" si="7"/>
        <v>0</v>
      </c>
      <c r="L71" s="6">
        <f t="shared" si="8"/>
        <v>0</v>
      </c>
      <c r="M71" s="6">
        <f t="shared" si="9"/>
        <v>0</v>
      </c>
      <c r="N71" s="6">
        <f t="shared" si="10"/>
        <v>0</v>
      </c>
      <c r="O71" s="106">
        <f>'Rotor model (SI)'!Q71*CONVERT(1,"kg","lbm")</f>
        <v>0</v>
      </c>
      <c r="P71" s="106">
        <f>'Rotor model (SI)'!R71*CONVERT(1,"kg","lbm")*CONVERT(1,"m","in")^2</f>
        <v>0</v>
      </c>
      <c r="Q71" s="106">
        <f>'Rotor model (SI)'!S71*CONVERT(1,"kg","lbm")*CONVERT(1,"m","in")^2</f>
        <v>0</v>
      </c>
      <c r="U71">
        <f>'Rotor model (SI)'!U71*CONVERT(1,"N","lbf")</f>
        <v>0</v>
      </c>
      <c r="V71">
        <f>'Rotor model (SI)'!V71</f>
        <v>0</v>
      </c>
      <c r="W71">
        <f>'Rotor model (SI)'!W71/25.4</f>
        <v>0</v>
      </c>
      <c r="X71">
        <f>'Rotor model (SI)'!X71</f>
        <v>0</v>
      </c>
      <c r="Y71">
        <f>'Rotor model (SI)'!Y71/25.4</f>
        <v>0</v>
      </c>
      <c r="Z71">
        <f>'Rotor model (SI)'!Z71</f>
        <v>0</v>
      </c>
      <c r="AA71">
        <f>'Rotor model (SI)'!AA71</f>
        <v>0</v>
      </c>
      <c r="AB71">
        <f>'Rotor model (SI)'!AB71</f>
        <v>0</v>
      </c>
      <c r="AC71" s="19">
        <f t="shared" si="11"/>
        <v>42.07800000000001</v>
      </c>
      <c r="AD71">
        <f t="shared" si="12"/>
        <v>0</v>
      </c>
      <c r="AE71">
        <f t="shared" si="13"/>
        <v>0</v>
      </c>
      <c r="AF71">
        <f t="shared" si="14"/>
        <v>0</v>
      </c>
      <c r="AG71">
        <f t="shared" si="15"/>
        <v>0</v>
      </c>
      <c r="AH71">
        <f t="shared" si="16"/>
        <v>0</v>
      </c>
    </row>
    <row r="72" spans="1:34" x14ac:dyDescent="0.25">
      <c r="A72">
        <v>67</v>
      </c>
      <c r="F72">
        <f>'Rotor model (SI)'!H72/25.4</f>
        <v>0</v>
      </c>
      <c r="G72">
        <f>'Rotor model (SI)'!I72/25.4</f>
        <v>0</v>
      </c>
      <c r="H72">
        <f>'Rotor model (SI)'!J72*CONVERT(1,"kg","lbm")/CONVERT(1,"m","in")^3</f>
        <v>0.28299999999999997</v>
      </c>
      <c r="I72">
        <f>'Rotor model (SI)'!K72*1000000000*CONVERT(1,"N","lbf")/CONVERT(1,"m","in")^2</f>
        <v>30000000</v>
      </c>
      <c r="J72">
        <f>'Rotor model (SI)'!L72</f>
        <v>0.3</v>
      </c>
      <c r="K72" s="7">
        <f t="shared" ref="K72:K99" si="22">(((PI()*(IF(E72&gt;0,E72,D72)^2))/4)-((PI()*(IF(G72=0,F72,G72)^2))/4))*C72*H72</f>
        <v>0</v>
      </c>
      <c r="L72" s="6">
        <f t="shared" ref="L72:L99" si="23">K72</f>
        <v>0</v>
      </c>
      <c r="M72" s="6">
        <f t="shared" ref="M72:M99" si="24">K72/2*(IF(E72&gt;0,E72/2,D72/2)^2+IF(G72=0,F72/2,G72/2)^2)</f>
        <v>0</v>
      </c>
      <c r="N72" s="6">
        <f t="shared" ref="N72:N99" si="25">K72/48*(3*IF(E72&gt;0,E72,D72)^2+3*IF(G72=0,F72,G72)^2+4*C72^2)</f>
        <v>0</v>
      </c>
      <c r="O72" s="106">
        <f>'Rotor model (SI)'!Q72*CONVERT(1,"kg","lbm")</f>
        <v>0</v>
      </c>
      <c r="P72" s="106">
        <f>'Rotor model (SI)'!R72*CONVERT(1,"kg","lbm")*CONVERT(1,"m","in")^2</f>
        <v>0</v>
      </c>
      <c r="Q72" s="106">
        <f>'Rotor model (SI)'!S72*CONVERT(1,"kg","lbm")*CONVERT(1,"m","in")^2</f>
        <v>0</v>
      </c>
      <c r="U72">
        <f>'Rotor model (SI)'!U72*CONVERT(1,"N","lbf")</f>
        <v>0</v>
      </c>
      <c r="V72">
        <f>'Rotor model (SI)'!V72</f>
        <v>0</v>
      </c>
      <c r="W72">
        <f>'Rotor model (SI)'!W72/25.4</f>
        <v>0</v>
      </c>
      <c r="X72">
        <f>'Rotor model (SI)'!X72</f>
        <v>0</v>
      </c>
      <c r="Y72">
        <f>'Rotor model (SI)'!Y72/25.4</f>
        <v>0</v>
      </c>
      <c r="Z72">
        <f>'Rotor model (SI)'!Z72</f>
        <v>0</v>
      </c>
      <c r="AA72">
        <f>'Rotor model (SI)'!AA72</f>
        <v>0</v>
      </c>
      <c r="AB72">
        <f>'Rotor model (SI)'!AB72</f>
        <v>0</v>
      </c>
      <c r="AC72" s="19">
        <f t="shared" ref="AC72:AC99" si="26">AC71+C71</f>
        <v>42.07800000000001</v>
      </c>
      <c r="AD72">
        <f t="shared" ref="AD72:AD99" si="27">L71/2+L72/2+O72</f>
        <v>0</v>
      </c>
      <c r="AE72">
        <f t="shared" ref="AE72:AE99" si="28">(AC72-$AC$3)*AD72</f>
        <v>0</v>
      </c>
      <c r="AF72">
        <f t="shared" ref="AF72:AF99" si="29">M72/2+M71/2+P72</f>
        <v>0</v>
      </c>
      <c r="AG72">
        <f t="shared" ref="AG72:AG99" si="30">Q72+N72/2+L72/2*(C72/2)^2+N71/2+L71/2*(C71/2)^2</f>
        <v>0</v>
      </c>
      <c r="AH72">
        <f t="shared" ref="AH72:AH99" si="31">Q72+O72*(AC72-$AE$103)^2+N72+L72*(AC72-$AE$103+C72/2)^2</f>
        <v>0</v>
      </c>
    </row>
    <row r="73" spans="1:34" x14ac:dyDescent="0.25">
      <c r="A73">
        <v>68</v>
      </c>
      <c r="B73" t="str">
        <f>IF('Rotor model (SI)'!B73&lt;&gt;"",'Rotor model (SI)'!B73,"")</f>
        <v/>
      </c>
      <c r="C73">
        <f>'Rotor model (SI)'!C73/25.4</f>
        <v>0</v>
      </c>
      <c r="D73">
        <f>'Rotor model (SI)'!F73/25.4</f>
        <v>0</v>
      </c>
      <c r="E73">
        <f>'Rotor model (SI)'!G73/25.4</f>
        <v>0</v>
      </c>
      <c r="F73">
        <f>'Rotor model (SI)'!H73/25.4</f>
        <v>0</v>
      </c>
      <c r="G73">
        <f>'Rotor model (SI)'!I73/25.4</f>
        <v>0</v>
      </c>
      <c r="H73">
        <f>'Rotor model (SI)'!J73*CONVERT(1,"kg","lbm")/CONVERT(1,"m","in")^3</f>
        <v>0.28299999999999997</v>
      </c>
      <c r="I73">
        <f>'Rotor model (SI)'!K73*1000000000*CONVERT(1,"N","lbf")/CONVERT(1,"m","in")^2</f>
        <v>30000000</v>
      </c>
      <c r="J73">
        <f>'Rotor model (SI)'!L73</f>
        <v>0.3</v>
      </c>
      <c r="K73" s="7">
        <f t="shared" si="22"/>
        <v>0</v>
      </c>
      <c r="L73" s="6">
        <f t="shared" si="23"/>
        <v>0</v>
      </c>
      <c r="M73" s="6">
        <f t="shared" si="24"/>
        <v>0</v>
      </c>
      <c r="N73" s="6">
        <f t="shared" si="25"/>
        <v>0</v>
      </c>
      <c r="O73" s="106">
        <f>'Rotor model (SI)'!Q73*CONVERT(1,"kg","lbm")</f>
        <v>0</v>
      </c>
      <c r="P73" s="106">
        <f>'Rotor model (SI)'!R73*CONVERT(1,"kg","lbm")*CONVERT(1,"m","in")^2</f>
        <v>0</v>
      </c>
      <c r="Q73" s="106">
        <f>'Rotor model (SI)'!S73*CONVERT(1,"kg","lbm")*CONVERT(1,"m","in")^2</f>
        <v>0</v>
      </c>
      <c r="U73">
        <f>'Rotor model (SI)'!U73*CONVERT(1,"N","lbf")</f>
        <v>0</v>
      </c>
      <c r="V73">
        <f>'Rotor model (SI)'!V73</f>
        <v>0</v>
      </c>
      <c r="W73">
        <f>'Rotor model (SI)'!W73/25.4</f>
        <v>0</v>
      </c>
      <c r="X73">
        <f>'Rotor model (SI)'!X73</f>
        <v>0</v>
      </c>
      <c r="Y73">
        <f>'Rotor model (SI)'!Y73/25.4</f>
        <v>0</v>
      </c>
      <c r="Z73">
        <f>'Rotor model (SI)'!Z73</f>
        <v>0</v>
      </c>
      <c r="AA73">
        <f>'Rotor model (SI)'!AA73</f>
        <v>0</v>
      </c>
      <c r="AB73">
        <f>'Rotor model (SI)'!AB73</f>
        <v>0</v>
      </c>
      <c r="AC73" s="19">
        <f t="shared" si="26"/>
        <v>42.07800000000001</v>
      </c>
      <c r="AD73">
        <f t="shared" si="27"/>
        <v>0</v>
      </c>
      <c r="AE73">
        <f t="shared" si="28"/>
        <v>0</v>
      </c>
      <c r="AF73">
        <f t="shared" si="29"/>
        <v>0</v>
      </c>
      <c r="AG73">
        <f t="shared" si="30"/>
        <v>0</v>
      </c>
      <c r="AH73">
        <f t="shared" si="31"/>
        <v>0</v>
      </c>
    </row>
    <row r="74" spans="1:34" x14ac:dyDescent="0.25">
      <c r="A74">
        <v>69</v>
      </c>
      <c r="B74" t="str">
        <f>IF('Rotor model (SI)'!B74&lt;&gt;"",'Rotor model (SI)'!B74,"")</f>
        <v/>
      </c>
      <c r="C74">
        <f>'Rotor model (SI)'!C74/25.4</f>
        <v>0</v>
      </c>
      <c r="D74">
        <f>'Rotor model (SI)'!F74/25.4</f>
        <v>0</v>
      </c>
      <c r="E74">
        <f>'Rotor model (SI)'!G74/25.4</f>
        <v>0</v>
      </c>
      <c r="F74">
        <f>'Rotor model (SI)'!H74/25.4</f>
        <v>0</v>
      </c>
      <c r="G74">
        <f>'Rotor model (SI)'!I74/25.4</f>
        <v>0</v>
      </c>
      <c r="H74">
        <f>'Rotor model (SI)'!J74*CONVERT(1,"kg","lbm")/CONVERT(1,"m","in")^3</f>
        <v>0.28299999999999997</v>
      </c>
      <c r="I74">
        <f>'Rotor model (SI)'!K74*1000000000*CONVERT(1,"N","lbf")/CONVERT(1,"m","in")^2</f>
        <v>30000000</v>
      </c>
      <c r="J74">
        <f>'Rotor model (SI)'!L74</f>
        <v>0.3</v>
      </c>
      <c r="K74" s="7">
        <f t="shared" si="22"/>
        <v>0</v>
      </c>
      <c r="L74" s="6">
        <f t="shared" si="23"/>
        <v>0</v>
      </c>
      <c r="M74" s="6">
        <f t="shared" si="24"/>
        <v>0</v>
      </c>
      <c r="N74" s="6">
        <f t="shared" si="25"/>
        <v>0</v>
      </c>
      <c r="O74" s="106">
        <f>'Rotor model (SI)'!Q74*CONVERT(1,"kg","lbm")</f>
        <v>0</v>
      </c>
      <c r="P74" s="106">
        <f>'Rotor model (SI)'!R74*CONVERT(1,"kg","lbm")*CONVERT(1,"m","in")^2</f>
        <v>0</v>
      </c>
      <c r="Q74" s="106">
        <f>'Rotor model (SI)'!S74*CONVERT(1,"kg","lbm")*CONVERT(1,"m","in")^2</f>
        <v>0</v>
      </c>
      <c r="U74">
        <f>'Rotor model (SI)'!U74*CONVERT(1,"N","lbf")</f>
        <v>0</v>
      </c>
      <c r="V74">
        <f>'Rotor model (SI)'!V74</f>
        <v>0</v>
      </c>
      <c r="W74">
        <f>'Rotor model (SI)'!W74/25.4</f>
        <v>0</v>
      </c>
      <c r="X74">
        <f>'Rotor model (SI)'!X74</f>
        <v>0</v>
      </c>
      <c r="Y74">
        <f>'Rotor model (SI)'!Y74/25.4</f>
        <v>0</v>
      </c>
      <c r="Z74">
        <f>'Rotor model (SI)'!Z74</f>
        <v>0</v>
      </c>
      <c r="AA74">
        <f>'Rotor model (SI)'!AA74</f>
        <v>0</v>
      </c>
      <c r="AB74">
        <f>'Rotor model (SI)'!AB74</f>
        <v>0</v>
      </c>
      <c r="AC74" s="19">
        <f t="shared" si="26"/>
        <v>42.07800000000001</v>
      </c>
      <c r="AD74">
        <f t="shared" si="27"/>
        <v>0</v>
      </c>
      <c r="AE74">
        <f t="shared" si="28"/>
        <v>0</v>
      </c>
      <c r="AF74">
        <f t="shared" si="29"/>
        <v>0</v>
      </c>
      <c r="AG74">
        <f t="shared" si="30"/>
        <v>0</v>
      </c>
      <c r="AH74">
        <f t="shared" si="31"/>
        <v>0</v>
      </c>
    </row>
    <row r="75" spans="1:34" x14ac:dyDescent="0.25">
      <c r="A75">
        <v>70</v>
      </c>
      <c r="B75" t="str">
        <f>IF('Rotor model (SI)'!B75&lt;&gt;"",'Rotor model (SI)'!B75,"")</f>
        <v/>
      </c>
      <c r="C75">
        <f>'Rotor model (SI)'!C75/25.4</f>
        <v>0</v>
      </c>
      <c r="D75">
        <f>'Rotor model (SI)'!F75/25.4</f>
        <v>0</v>
      </c>
      <c r="E75">
        <f>'Rotor model (SI)'!G75/25.4</f>
        <v>0</v>
      </c>
      <c r="F75">
        <f>'Rotor model (SI)'!H75/25.4</f>
        <v>0</v>
      </c>
      <c r="G75">
        <f>'Rotor model (SI)'!I75/25.4</f>
        <v>0</v>
      </c>
      <c r="H75">
        <f>'Rotor model (SI)'!J75*CONVERT(1,"kg","lbm")/CONVERT(1,"m","in")^3</f>
        <v>0.28299999999999997</v>
      </c>
      <c r="I75">
        <f>'Rotor model (SI)'!K75*1000000000*CONVERT(1,"N","lbf")/CONVERT(1,"m","in")^2</f>
        <v>30000000</v>
      </c>
      <c r="J75">
        <f>'Rotor model (SI)'!L75</f>
        <v>0.3</v>
      </c>
      <c r="K75" s="7">
        <f t="shared" si="22"/>
        <v>0</v>
      </c>
      <c r="L75" s="6">
        <f t="shared" si="23"/>
        <v>0</v>
      </c>
      <c r="M75" s="6">
        <f t="shared" si="24"/>
        <v>0</v>
      </c>
      <c r="N75" s="6">
        <f t="shared" si="25"/>
        <v>0</v>
      </c>
      <c r="O75" s="106">
        <f>'Rotor model (SI)'!Q75*CONVERT(1,"kg","lbm")</f>
        <v>0</v>
      </c>
      <c r="P75" s="106">
        <f>'Rotor model (SI)'!R75*CONVERT(1,"kg","lbm")*CONVERT(1,"m","in")^2</f>
        <v>0</v>
      </c>
      <c r="Q75" s="106">
        <f>'Rotor model (SI)'!S75*CONVERT(1,"kg","lbm")*CONVERT(1,"m","in")^2</f>
        <v>0</v>
      </c>
      <c r="U75">
        <f>'Rotor model (SI)'!U75*CONVERT(1,"N","lbf")</f>
        <v>0</v>
      </c>
      <c r="V75">
        <f>'Rotor model (SI)'!V75</f>
        <v>0</v>
      </c>
      <c r="W75">
        <f>'Rotor model (SI)'!W75/25.4</f>
        <v>0</v>
      </c>
      <c r="X75">
        <f>'Rotor model (SI)'!X75</f>
        <v>0</v>
      </c>
      <c r="Y75">
        <f>'Rotor model (SI)'!Y75/25.4</f>
        <v>0</v>
      </c>
      <c r="Z75">
        <f>'Rotor model (SI)'!Z75</f>
        <v>0</v>
      </c>
      <c r="AA75">
        <f>'Rotor model (SI)'!AA75</f>
        <v>0</v>
      </c>
      <c r="AB75">
        <f>'Rotor model (SI)'!AB75</f>
        <v>0</v>
      </c>
      <c r="AC75" s="19">
        <f t="shared" si="26"/>
        <v>42.07800000000001</v>
      </c>
      <c r="AD75">
        <f t="shared" si="27"/>
        <v>0</v>
      </c>
      <c r="AE75">
        <f t="shared" si="28"/>
        <v>0</v>
      </c>
      <c r="AF75">
        <f t="shared" si="29"/>
        <v>0</v>
      </c>
      <c r="AG75">
        <f t="shared" si="30"/>
        <v>0</v>
      </c>
      <c r="AH75">
        <f t="shared" si="31"/>
        <v>0</v>
      </c>
    </row>
    <row r="76" spans="1:34" x14ac:dyDescent="0.25">
      <c r="A76">
        <v>71</v>
      </c>
      <c r="B76" t="str">
        <f>IF('Rotor model (SI)'!B76&lt;&gt;"",'Rotor model (SI)'!B76,"")</f>
        <v/>
      </c>
      <c r="C76">
        <f>'Rotor model (SI)'!C76/25.4</f>
        <v>0</v>
      </c>
      <c r="D76">
        <f>'Rotor model (SI)'!F76/25.4</f>
        <v>0</v>
      </c>
      <c r="E76">
        <f>'Rotor model (SI)'!G76/25.4</f>
        <v>0</v>
      </c>
      <c r="F76">
        <f>'Rotor model (SI)'!H76/25.4</f>
        <v>0</v>
      </c>
      <c r="G76">
        <f>'Rotor model (SI)'!I76/25.4</f>
        <v>0</v>
      </c>
      <c r="H76">
        <f>'Rotor model (SI)'!J76*CONVERT(1,"kg","lbm")/CONVERT(1,"m","in")^3</f>
        <v>0.28299999999999997</v>
      </c>
      <c r="I76">
        <f>'Rotor model (SI)'!K76*1000000000*CONVERT(1,"N","lbf")/CONVERT(1,"m","in")^2</f>
        <v>30000000</v>
      </c>
      <c r="J76">
        <f>'Rotor model (SI)'!L76</f>
        <v>0.3</v>
      </c>
      <c r="K76" s="7">
        <f t="shared" si="22"/>
        <v>0</v>
      </c>
      <c r="L76" s="6">
        <f t="shared" si="23"/>
        <v>0</v>
      </c>
      <c r="M76" s="6">
        <f t="shared" si="24"/>
        <v>0</v>
      </c>
      <c r="N76" s="6">
        <f t="shared" si="25"/>
        <v>0</v>
      </c>
      <c r="O76" s="106">
        <f>'Rotor model (SI)'!Q76*CONVERT(1,"kg","lbm")</f>
        <v>0</v>
      </c>
      <c r="P76" s="106">
        <f>'Rotor model (SI)'!R76*CONVERT(1,"kg","lbm")*CONVERT(1,"m","in")^2</f>
        <v>0</v>
      </c>
      <c r="Q76" s="106">
        <f>'Rotor model (SI)'!S76*CONVERT(1,"kg","lbm")*CONVERT(1,"m","in")^2</f>
        <v>0</v>
      </c>
      <c r="U76">
        <f>'Rotor model (SI)'!U76*CONVERT(1,"N","lbf")</f>
        <v>0</v>
      </c>
      <c r="V76">
        <f>'Rotor model (SI)'!V76</f>
        <v>0</v>
      </c>
      <c r="W76">
        <f>'Rotor model (SI)'!W76/25.4</f>
        <v>0</v>
      </c>
      <c r="X76">
        <f>'Rotor model (SI)'!X76</f>
        <v>0</v>
      </c>
      <c r="Y76">
        <f>'Rotor model (SI)'!Y76/25.4</f>
        <v>0</v>
      </c>
      <c r="Z76">
        <f>'Rotor model (SI)'!Z76</f>
        <v>0</v>
      </c>
      <c r="AA76">
        <f>'Rotor model (SI)'!AA76</f>
        <v>0</v>
      </c>
      <c r="AB76">
        <f>'Rotor model (SI)'!AB76</f>
        <v>0</v>
      </c>
      <c r="AC76" s="19">
        <f t="shared" si="26"/>
        <v>42.07800000000001</v>
      </c>
      <c r="AD76">
        <f t="shared" si="27"/>
        <v>0</v>
      </c>
      <c r="AE76">
        <f t="shared" si="28"/>
        <v>0</v>
      </c>
      <c r="AF76">
        <f t="shared" si="29"/>
        <v>0</v>
      </c>
      <c r="AG76">
        <f t="shared" si="30"/>
        <v>0</v>
      </c>
      <c r="AH76">
        <f t="shared" si="31"/>
        <v>0</v>
      </c>
    </row>
    <row r="77" spans="1:34" x14ac:dyDescent="0.25">
      <c r="A77">
        <v>72</v>
      </c>
      <c r="B77" t="str">
        <f>IF('Rotor model (SI)'!B77&lt;&gt;"",'Rotor model (SI)'!B77,"")</f>
        <v/>
      </c>
      <c r="C77">
        <f>'Rotor model (SI)'!C77/25.4</f>
        <v>0</v>
      </c>
      <c r="D77">
        <f>'Rotor model (SI)'!F77/25.4</f>
        <v>0</v>
      </c>
      <c r="E77">
        <f>'Rotor model (SI)'!G77/25.4</f>
        <v>0</v>
      </c>
      <c r="F77">
        <f>'Rotor model (SI)'!H77/25.4</f>
        <v>0</v>
      </c>
      <c r="G77">
        <f>'Rotor model (SI)'!I77/25.4</f>
        <v>0</v>
      </c>
      <c r="H77">
        <f>'Rotor model (SI)'!J77*CONVERT(1,"kg","lbm")/CONVERT(1,"m","in")^3</f>
        <v>0.28299999999999997</v>
      </c>
      <c r="I77">
        <f>'Rotor model (SI)'!K77*1000000000*CONVERT(1,"N","lbf")/CONVERT(1,"m","in")^2</f>
        <v>30000000</v>
      </c>
      <c r="J77">
        <f>'Rotor model (SI)'!L77</f>
        <v>0.3</v>
      </c>
      <c r="K77" s="7">
        <f t="shared" si="22"/>
        <v>0</v>
      </c>
      <c r="L77" s="6">
        <f t="shared" si="23"/>
        <v>0</v>
      </c>
      <c r="M77" s="6">
        <f t="shared" si="24"/>
        <v>0</v>
      </c>
      <c r="N77" s="6">
        <f t="shared" si="25"/>
        <v>0</v>
      </c>
      <c r="O77" s="106">
        <f>'Rotor model (SI)'!Q77*CONVERT(1,"kg","lbm")</f>
        <v>0</v>
      </c>
      <c r="P77" s="106">
        <f>'Rotor model (SI)'!R77*CONVERT(1,"kg","lbm")*CONVERT(1,"m","in")^2</f>
        <v>0</v>
      </c>
      <c r="Q77" s="106">
        <f>'Rotor model (SI)'!S77*CONVERT(1,"kg","lbm")*CONVERT(1,"m","in")^2</f>
        <v>0</v>
      </c>
      <c r="U77">
        <f>'Rotor model (SI)'!U77*CONVERT(1,"N","lbf")</f>
        <v>0</v>
      </c>
      <c r="V77">
        <f>'Rotor model (SI)'!V77</f>
        <v>0</v>
      </c>
      <c r="W77">
        <f>'Rotor model (SI)'!W77/25.4</f>
        <v>0</v>
      </c>
      <c r="X77">
        <f>'Rotor model (SI)'!X77</f>
        <v>0</v>
      </c>
      <c r="Y77">
        <f>'Rotor model (SI)'!Y77/25.4</f>
        <v>0</v>
      </c>
      <c r="Z77">
        <f>'Rotor model (SI)'!Z77</f>
        <v>0</v>
      </c>
      <c r="AA77">
        <f>'Rotor model (SI)'!AA77</f>
        <v>0</v>
      </c>
      <c r="AB77">
        <f>'Rotor model (SI)'!AB77</f>
        <v>0</v>
      </c>
      <c r="AC77" s="19">
        <f t="shared" si="26"/>
        <v>42.07800000000001</v>
      </c>
      <c r="AD77">
        <f t="shared" si="27"/>
        <v>0</v>
      </c>
      <c r="AE77">
        <f t="shared" si="28"/>
        <v>0</v>
      </c>
      <c r="AF77">
        <f t="shared" si="29"/>
        <v>0</v>
      </c>
      <c r="AG77">
        <f t="shared" si="30"/>
        <v>0</v>
      </c>
      <c r="AH77">
        <f t="shared" si="31"/>
        <v>0</v>
      </c>
    </row>
    <row r="78" spans="1:34" x14ac:dyDescent="0.25">
      <c r="A78">
        <v>73</v>
      </c>
      <c r="B78" t="str">
        <f>IF('Rotor model (SI)'!B78&lt;&gt;"",'Rotor model (SI)'!B78,"")</f>
        <v/>
      </c>
      <c r="C78">
        <f>'Rotor model (SI)'!C78/25.4</f>
        <v>0</v>
      </c>
      <c r="D78">
        <f>'Rotor model (SI)'!F78/25.4</f>
        <v>0</v>
      </c>
      <c r="E78">
        <f>'Rotor model (SI)'!G78/25.4</f>
        <v>0</v>
      </c>
      <c r="F78">
        <f>'Rotor model (SI)'!H78/25.4</f>
        <v>0</v>
      </c>
      <c r="G78">
        <f>'Rotor model (SI)'!I78/25.4</f>
        <v>0</v>
      </c>
      <c r="H78">
        <f>'Rotor model (SI)'!J78*CONVERT(1,"kg","lbm")/CONVERT(1,"m","in")^3</f>
        <v>0.28299999999999997</v>
      </c>
      <c r="I78">
        <f>'Rotor model (SI)'!K78*1000000000*CONVERT(1,"N","lbf")/CONVERT(1,"m","in")^2</f>
        <v>30000000</v>
      </c>
      <c r="J78">
        <f>'Rotor model (SI)'!L78</f>
        <v>0.3</v>
      </c>
      <c r="K78" s="7">
        <f t="shared" si="22"/>
        <v>0</v>
      </c>
      <c r="L78" s="6">
        <f t="shared" si="23"/>
        <v>0</v>
      </c>
      <c r="M78" s="6">
        <f t="shared" si="24"/>
        <v>0</v>
      </c>
      <c r="N78" s="6">
        <f t="shared" si="25"/>
        <v>0</v>
      </c>
      <c r="O78" s="106">
        <f>'Rotor model (SI)'!Q78*CONVERT(1,"kg","lbm")</f>
        <v>0</v>
      </c>
      <c r="P78" s="106">
        <f>'Rotor model (SI)'!R78*CONVERT(1,"kg","lbm")*CONVERT(1,"m","in")^2</f>
        <v>0</v>
      </c>
      <c r="Q78" s="106">
        <f>'Rotor model (SI)'!S78*CONVERT(1,"kg","lbm")*CONVERT(1,"m","in")^2</f>
        <v>0</v>
      </c>
      <c r="U78">
        <f>'Rotor model (SI)'!U78*CONVERT(1,"N","lbf")</f>
        <v>0</v>
      </c>
      <c r="V78">
        <f>'Rotor model (SI)'!V78</f>
        <v>0</v>
      </c>
      <c r="W78">
        <f>'Rotor model (SI)'!W78/25.4</f>
        <v>0</v>
      </c>
      <c r="X78">
        <f>'Rotor model (SI)'!X78</f>
        <v>0</v>
      </c>
      <c r="Y78">
        <f>'Rotor model (SI)'!Y78/25.4</f>
        <v>0</v>
      </c>
      <c r="Z78">
        <f>'Rotor model (SI)'!Z78</f>
        <v>0</v>
      </c>
      <c r="AA78">
        <f>'Rotor model (SI)'!AA78</f>
        <v>0</v>
      </c>
      <c r="AB78">
        <f>'Rotor model (SI)'!AB78</f>
        <v>0</v>
      </c>
      <c r="AC78" s="19">
        <f t="shared" si="26"/>
        <v>42.07800000000001</v>
      </c>
      <c r="AD78">
        <f t="shared" si="27"/>
        <v>0</v>
      </c>
      <c r="AE78">
        <f t="shared" si="28"/>
        <v>0</v>
      </c>
      <c r="AF78">
        <f t="shared" si="29"/>
        <v>0</v>
      </c>
      <c r="AG78">
        <f t="shared" si="30"/>
        <v>0</v>
      </c>
      <c r="AH78">
        <f t="shared" si="31"/>
        <v>0</v>
      </c>
    </row>
    <row r="79" spans="1:34" x14ac:dyDescent="0.25">
      <c r="A79">
        <v>74</v>
      </c>
      <c r="B79" t="str">
        <f>IF('Rotor model (SI)'!B79&lt;&gt;"",'Rotor model (SI)'!B79,"")</f>
        <v/>
      </c>
      <c r="C79">
        <f>'Rotor model (SI)'!C79/25.4</f>
        <v>0</v>
      </c>
      <c r="D79">
        <f>'Rotor model (SI)'!F79/25.4</f>
        <v>0</v>
      </c>
      <c r="E79">
        <f>'Rotor model (SI)'!G79/25.4</f>
        <v>0</v>
      </c>
      <c r="F79">
        <f>'Rotor model (SI)'!H79/25.4</f>
        <v>0</v>
      </c>
      <c r="G79">
        <f>'Rotor model (SI)'!I79/25.4</f>
        <v>0</v>
      </c>
      <c r="H79">
        <f>'Rotor model (SI)'!J79*CONVERT(1,"kg","lbm")/CONVERT(1,"m","in")^3</f>
        <v>0.28299999999999997</v>
      </c>
      <c r="I79">
        <f>'Rotor model (SI)'!K79*1000000000*CONVERT(1,"N","lbf")/CONVERT(1,"m","in")^2</f>
        <v>30000000</v>
      </c>
      <c r="J79">
        <f>'Rotor model (SI)'!L79</f>
        <v>0.3</v>
      </c>
      <c r="K79" s="7">
        <f t="shared" si="22"/>
        <v>0</v>
      </c>
      <c r="L79" s="6">
        <f t="shared" si="23"/>
        <v>0</v>
      </c>
      <c r="M79" s="6">
        <f t="shared" si="24"/>
        <v>0</v>
      </c>
      <c r="N79" s="6">
        <f t="shared" si="25"/>
        <v>0</v>
      </c>
      <c r="O79" s="106">
        <f>'Rotor model (SI)'!Q79*CONVERT(1,"kg","lbm")</f>
        <v>0</v>
      </c>
      <c r="P79" s="106">
        <f>'Rotor model (SI)'!R79*CONVERT(1,"kg","lbm")*CONVERT(1,"m","in")^2</f>
        <v>0</v>
      </c>
      <c r="Q79" s="106">
        <f>'Rotor model (SI)'!S79*CONVERT(1,"kg","lbm")*CONVERT(1,"m","in")^2</f>
        <v>0</v>
      </c>
      <c r="U79">
        <f>'Rotor model (SI)'!U79*CONVERT(1,"N","lbf")</f>
        <v>0</v>
      </c>
      <c r="V79">
        <f>'Rotor model (SI)'!V79</f>
        <v>0</v>
      </c>
      <c r="W79">
        <f>'Rotor model (SI)'!W79/25.4</f>
        <v>0</v>
      </c>
      <c r="X79">
        <f>'Rotor model (SI)'!X79</f>
        <v>0</v>
      </c>
      <c r="Y79">
        <f>'Rotor model (SI)'!Y79/25.4</f>
        <v>0</v>
      </c>
      <c r="Z79">
        <f>'Rotor model (SI)'!Z79</f>
        <v>0</v>
      </c>
      <c r="AA79">
        <f>'Rotor model (SI)'!AA79</f>
        <v>0</v>
      </c>
      <c r="AB79">
        <f>'Rotor model (SI)'!AB79</f>
        <v>0</v>
      </c>
      <c r="AC79" s="19">
        <f t="shared" si="26"/>
        <v>42.07800000000001</v>
      </c>
      <c r="AD79">
        <f t="shared" si="27"/>
        <v>0</v>
      </c>
      <c r="AE79">
        <f t="shared" si="28"/>
        <v>0</v>
      </c>
      <c r="AF79">
        <f t="shared" si="29"/>
        <v>0</v>
      </c>
      <c r="AG79">
        <f t="shared" si="30"/>
        <v>0</v>
      </c>
      <c r="AH79">
        <f t="shared" si="31"/>
        <v>0</v>
      </c>
    </row>
    <row r="80" spans="1:34" x14ac:dyDescent="0.25">
      <c r="A80">
        <v>75</v>
      </c>
      <c r="B80" t="str">
        <f>IF('Rotor model (SI)'!B80&lt;&gt;"",'Rotor model (SI)'!B80,"")</f>
        <v/>
      </c>
      <c r="C80">
        <f>'Rotor model (SI)'!C80/25.4</f>
        <v>0</v>
      </c>
      <c r="D80">
        <f>'Rotor model (SI)'!F80/25.4</f>
        <v>0</v>
      </c>
      <c r="E80">
        <f>'Rotor model (SI)'!G80/25.4</f>
        <v>0</v>
      </c>
      <c r="F80">
        <f>'Rotor model (SI)'!H80/25.4</f>
        <v>0</v>
      </c>
      <c r="G80">
        <f>'Rotor model (SI)'!I80/25.4</f>
        <v>0</v>
      </c>
      <c r="H80">
        <f>'Rotor model (SI)'!J80*CONVERT(1,"kg","lbm")/CONVERT(1,"m","in")^3</f>
        <v>0.28299999999999997</v>
      </c>
      <c r="I80">
        <f>'Rotor model (SI)'!K80*1000000000*CONVERT(1,"N","lbf")/CONVERT(1,"m","in")^2</f>
        <v>30000000</v>
      </c>
      <c r="J80">
        <f>'Rotor model (SI)'!L80</f>
        <v>0.3</v>
      </c>
      <c r="K80" s="7">
        <f t="shared" si="22"/>
        <v>0</v>
      </c>
      <c r="L80" s="6">
        <f t="shared" si="23"/>
        <v>0</v>
      </c>
      <c r="M80" s="6">
        <f t="shared" si="24"/>
        <v>0</v>
      </c>
      <c r="N80" s="6">
        <f t="shared" si="25"/>
        <v>0</v>
      </c>
      <c r="O80" s="106">
        <f>'Rotor model (SI)'!Q80*CONVERT(1,"kg","lbm")</f>
        <v>0</v>
      </c>
      <c r="P80" s="106">
        <f>'Rotor model (SI)'!R80*CONVERT(1,"kg","lbm")*CONVERT(1,"m","in")^2</f>
        <v>0</v>
      </c>
      <c r="Q80" s="106">
        <f>'Rotor model (SI)'!S80*CONVERT(1,"kg","lbm")*CONVERT(1,"m","in")^2</f>
        <v>0</v>
      </c>
      <c r="U80">
        <f>'Rotor model (SI)'!U80*CONVERT(1,"N","lbf")</f>
        <v>0</v>
      </c>
      <c r="V80">
        <f>'Rotor model (SI)'!V80</f>
        <v>0</v>
      </c>
      <c r="W80">
        <f>'Rotor model (SI)'!W80/25.4</f>
        <v>0</v>
      </c>
      <c r="X80">
        <f>'Rotor model (SI)'!X80</f>
        <v>0</v>
      </c>
      <c r="Y80">
        <f>'Rotor model (SI)'!Y80/25.4</f>
        <v>0</v>
      </c>
      <c r="Z80">
        <f>'Rotor model (SI)'!Z80</f>
        <v>0</v>
      </c>
      <c r="AA80">
        <f>'Rotor model (SI)'!AA80</f>
        <v>0</v>
      </c>
      <c r="AB80">
        <f>'Rotor model (SI)'!AB80</f>
        <v>0</v>
      </c>
      <c r="AC80" s="19">
        <f t="shared" si="26"/>
        <v>42.07800000000001</v>
      </c>
      <c r="AD80">
        <f t="shared" si="27"/>
        <v>0</v>
      </c>
      <c r="AE80">
        <f t="shared" si="28"/>
        <v>0</v>
      </c>
      <c r="AF80">
        <f t="shared" si="29"/>
        <v>0</v>
      </c>
      <c r="AG80">
        <f t="shared" si="30"/>
        <v>0</v>
      </c>
      <c r="AH80">
        <f t="shared" si="31"/>
        <v>0</v>
      </c>
    </row>
    <row r="81" spans="1:34" x14ac:dyDescent="0.25">
      <c r="A81">
        <v>76</v>
      </c>
      <c r="B81" t="str">
        <f>IF('Rotor model (SI)'!B81&lt;&gt;"",'Rotor model (SI)'!B81,"")</f>
        <v/>
      </c>
      <c r="C81">
        <f>'Rotor model (SI)'!C81/25.4</f>
        <v>0</v>
      </c>
      <c r="D81">
        <f>'Rotor model (SI)'!F81/25.4</f>
        <v>0</v>
      </c>
      <c r="E81">
        <f>'Rotor model (SI)'!G81/25.4</f>
        <v>0</v>
      </c>
      <c r="F81">
        <f>'Rotor model (SI)'!H81/25.4</f>
        <v>0</v>
      </c>
      <c r="G81">
        <f>'Rotor model (SI)'!I81/25.4</f>
        <v>0</v>
      </c>
      <c r="H81">
        <f>'Rotor model (SI)'!J81*CONVERT(1,"kg","lbm")/CONVERT(1,"m","in")^3</f>
        <v>0.28299999999999997</v>
      </c>
      <c r="I81">
        <f>'Rotor model (SI)'!K81*1000000000*CONVERT(1,"N","lbf")/CONVERT(1,"m","in")^2</f>
        <v>30000000</v>
      </c>
      <c r="J81">
        <f>'Rotor model (SI)'!L81</f>
        <v>0.3</v>
      </c>
      <c r="K81" s="7">
        <f t="shared" si="22"/>
        <v>0</v>
      </c>
      <c r="L81" s="6">
        <f t="shared" si="23"/>
        <v>0</v>
      </c>
      <c r="M81" s="6">
        <f t="shared" si="24"/>
        <v>0</v>
      </c>
      <c r="N81" s="6">
        <f t="shared" si="25"/>
        <v>0</v>
      </c>
      <c r="O81" s="106">
        <f>'Rotor model (SI)'!Q81*CONVERT(1,"kg","lbm")</f>
        <v>0</v>
      </c>
      <c r="P81" s="106">
        <f>'Rotor model (SI)'!R81*CONVERT(1,"kg","lbm")*CONVERT(1,"m","in")^2</f>
        <v>0</v>
      </c>
      <c r="Q81" s="106">
        <f>'Rotor model (SI)'!S81*CONVERT(1,"kg","lbm")*CONVERT(1,"m","in")^2</f>
        <v>0</v>
      </c>
      <c r="U81">
        <f>'Rotor model (SI)'!U81*CONVERT(1,"N","lbf")</f>
        <v>0</v>
      </c>
      <c r="V81">
        <f>'Rotor model (SI)'!V81</f>
        <v>0</v>
      </c>
      <c r="W81">
        <f>'Rotor model (SI)'!W81/25.4</f>
        <v>0</v>
      </c>
      <c r="X81">
        <f>'Rotor model (SI)'!X81</f>
        <v>0</v>
      </c>
      <c r="Y81">
        <f>'Rotor model (SI)'!Y81/25.4</f>
        <v>0</v>
      </c>
      <c r="Z81">
        <f>'Rotor model (SI)'!Z81</f>
        <v>0</v>
      </c>
      <c r="AA81">
        <f>'Rotor model (SI)'!AA81</f>
        <v>0</v>
      </c>
      <c r="AB81">
        <f>'Rotor model (SI)'!AB81</f>
        <v>0</v>
      </c>
      <c r="AC81" s="19">
        <f t="shared" si="26"/>
        <v>42.07800000000001</v>
      </c>
      <c r="AD81">
        <f t="shared" si="27"/>
        <v>0</v>
      </c>
      <c r="AE81">
        <f t="shared" si="28"/>
        <v>0</v>
      </c>
      <c r="AF81">
        <f t="shared" si="29"/>
        <v>0</v>
      </c>
      <c r="AG81">
        <f t="shared" si="30"/>
        <v>0</v>
      </c>
      <c r="AH81">
        <f t="shared" si="31"/>
        <v>0</v>
      </c>
    </row>
    <row r="82" spans="1:34" x14ac:dyDescent="0.25">
      <c r="A82">
        <v>77</v>
      </c>
      <c r="B82" t="str">
        <f>IF('Rotor model (SI)'!B82&lt;&gt;"",'Rotor model (SI)'!B82,"")</f>
        <v/>
      </c>
      <c r="C82">
        <f>'Rotor model (SI)'!C82/25.4</f>
        <v>0</v>
      </c>
      <c r="D82">
        <f>'Rotor model (SI)'!F82/25.4</f>
        <v>0</v>
      </c>
      <c r="E82">
        <f>'Rotor model (SI)'!G82/25.4</f>
        <v>0</v>
      </c>
      <c r="F82">
        <f>'Rotor model (SI)'!H82/25.4</f>
        <v>0</v>
      </c>
      <c r="G82">
        <f>'Rotor model (SI)'!I82/25.4</f>
        <v>0</v>
      </c>
      <c r="H82">
        <f>'Rotor model (SI)'!J82*CONVERT(1,"kg","lbm")/CONVERT(1,"m","in")^3</f>
        <v>0.28299999999999997</v>
      </c>
      <c r="I82">
        <f>'Rotor model (SI)'!K82*1000000000*CONVERT(1,"N","lbf")/CONVERT(1,"m","in")^2</f>
        <v>30000000</v>
      </c>
      <c r="J82">
        <f>'Rotor model (SI)'!L82</f>
        <v>0.3</v>
      </c>
      <c r="K82" s="7">
        <f t="shared" si="22"/>
        <v>0</v>
      </c>
      <c r="L82" s="6">
        <f t="shared" si="23"/>
        <v>0</v>
      </c>
      <c r="M82" s="6">
        <f t="shared" si="24"/>
        <v>0</v>
      </c>
      <c r="N82" s="6">
        <f t="shared" si="25"/>
        <v>0</v>
      </c>
      <c r="O82" s="106">
        <f>'Rotor model (SI)'!Q82*CONVERT(1,"kg","lbm")</f>
        <v>0</v>
      </c>
      <c r="P82" s="106">
        <f>'Rotor model (SI)'!R82*CONVERT(1,"kg","lbm")*CONVERT(1,"m","in")^2</f>
        <v>0</v>
      </c>
      <c r="Q82" s="106">
        <f>'Rotor model (SI)'!S82*CONVERT(1,"kg","lbm")*CONVERT(1,"m","in")^2</f>
        <v>0</v>
      </c>
      <c r="U82">
        <f>'Rotor model (SI)'!U82*CONVERT(1,"N","lbf")</f>
        <v>0</v>
      </c>
      <c r="V82">
        <f>'Rotor model (SI)'!V82</f>
        <v>0</v>
      </c>
      <c r="W82">
        <f>'Rotor model (SI)'!W82/25.4</f>
        <v>0</v>
      </c>
      <c r="X82">
        <f>'Rotor model (SI)'!X82</f>
        <v>0</v>
      </c>
      <c r="Y82">
        <f>'Rotor model (SI)'!Y82/25.4</f>
        <v>0</v>
      </c>
      <c r="Z82">
        <f>'Rotor model (SI)'!Z82</f>
        <v>0</v>
      </c>
      <c r="AA82">
        <f>'Rotor model (SI)'!AA82</f>
        <v>0</v>
      </c>
      <c r="AB82">
        <f>'Rotor model (SI)'!AB82</f>
        <v>0</v>
      </c>
      <c r="AC82" s="19">
        <f t="shared" si="26"/>
        <v>42.07800000000001</v>
      </c>
      <c r="AD82">
        <f t="shared" si="27"/>
        <v>0</v>
      </c>
      <c r="AE82">
        <f t="shared" si="28"/>
        <v>0</v>
      </c>
      <c r="AF82">
        <f t="shared" si="29"/>
        <v>0</v>
      </c>
      <c r="AG82">
        <f t="shared" si="30"/>
        <v>0</v>
      </c>
      <c r="AH82">
        <f t="shared" si="31"/>
        <v>0</v>
      </c>
    </row>
    <row r="83" spans="1:34" x14ac:dyDescent="0.25">
      <c r="A83">
        <v>78</v>
      </c>
      <c r="B83" t="str">
        <f>IF('Rotor model (SI)'!B83&lt;&gt;"",'Rotor model (SI)'!B83,"")</f>
        <v/>
      </c>
      <c r="C83">
        <f>'Rotor model (SI)'!C83/25.4</f>
        <v>0</v>
      </c>
      <c r="D83">
        <f>'Rotor model (SI)'!F83/25.4</f>
        <v>0</v>
      </c>
      <c r="E83">
        <f>'Rotor model (SI)'!G83/25.4</f>
        <v>0</v>
      </c>
      <c r="F83">
        <f>'Rotor model (SI)'!H83/25.4</f>
        <v>0</v>
      </c>
      <c r="G83">
        <f>'Rotor model (SI)'!I83/25.4</f>
        <v>0</v>
      </c>
      <c r="H83">
        <f>'Rotor model (SI)'!J83*CONVERT(1,"kg","lbm")/CONVERT(1,"m","in")^3</f>
        <v>0.28299999999999997</v>
      </c>
      <c r="I83">
        <f>'Rotor model (SI)'!K83*1000000000*CONVERT(1,"N","lbf")/CONVERT(1,"m","in")^2</f>
        <v>30000000</v>
      </c>
      <c r="J83">
        <f>'Rotor model (SI)'!L83</f>
        <v>0.3</v>
      </c>
      <c r="K83" s="7">
        <f t="shared" si="22"/>
        <v>0</v>
      </c>
      <c r="L83" s="6">
        <f t="shared" si="23"/>
        <v>0</v>
      </c>
      <c r="M83" s="6">
        <f t="shared" si="24"/>
        <v>0</v>
      </c>
      <c r="N83" s="6">
        <f t="shared" si="25"/>
        <v>0</v>
      </c>
      <c r="O83" s="106">
        <f>'Rotor model (SI)'!Q83*CONVERT(1,"kg","lbm")</f>
        <v>0</v>
      </c>
      <c r="P83" s="106">
        <f>'Rotor model (SI)'!R83*CONVERT(1,"kg","lbm")*CONVERT(1,"m","in")^2</f>
        <v>0</v>
      </c>
      <c r="Q83" s="106">
        <f>'Rotor model (SI)'!S83*CONVERT(1,"kg","lbm")*CONVERT(1,"m","in")^2</f>
        <v>0</v>
      </c>
      <c r="U83">
        <f>'Rotor model (SI)'!U83*CONVERT(1,"N","lbf")</f>
        <v>0</v>
      </c>
      <c r="V83">
        <f>'Rotor model (SI)'!V83</f>
        <v>0</v>
      </c>
      <c r="W83">
        <f>'Rotor model (SI)'!W83/25.4</f>
        <v>0</v>
      </c>
      <c r="X83">
        <f>'Rotor model (SI)'!X83</f>
        <v>0</v>
      </c>
      <c r="Y83">
        <f>'Rotor model (SI)'!Y83/25.4</f>
        <v>0</v>
      </c>
      <c r="Z83">
        <f>'Rotor model (SI)'!Z83</f>
        <v>0</v>
      </c>
      <c r="AA83">
        <f>'Rotor model (SI)'!AA83</f>
        <v>0</v>
      </c>
      <c r="AB83">
        <f>'Rotor model (SI)'!AB83</f>
        <v>0</v>
      </c>
      <c r="AC83" s="19">
        <f t="shared" si="26"/>
        <v>42.07800000000001</v>
      </c>
      <c r="AD83">
        <f t="shared" si="27"/>
        <v>0</v>
      </c>
      <c r="AE83">
        <f t="shared" si="28"/>
        <v>0</v>
      </c>
      <c r="AF83">
        <f t="shared" si="29"/>
        <v>0</v>
      </c>
      <c r="AG83">
        <f t="shared" si="30"/>
        <v>0</v>
      </c>
      <c r="AH83">
        <f t="shared" si="31"/>
        <v>0</v>
      </c>
    </row>
    <row r="84" spans="1:34" x14ac:dyDescent="0.25">
      <c r="A84">
        <v>79</v>
      </c>
      <c r="B84" t="str">
        <f>IF('Rotor model (SI)'!B84&lt;&gt;"",'Rotor model (SI)'!B84,"")</f>
        <v/>
      </c>
      <c r="C84">
        <f>'Rotor model (SI)'!C84/25.4</f>
        <v>0</v>
      </c>
      <c r="D84">
        <f>'Rotor model (SI)'!F84/25.4</f>
        <v>0</v>
      </c>
      <c r="E84">
        <f>'Rotor model (SI)'!G84/25.4</f>
        <v>0</v>
      </c>
      <c r="F84">
        <f>'Rotor model (SI)'!H84/25.4</f>
        <v>0</v>
      </c>
      <c r="G84">
        <f>'Rotor model (SI)'!I84/25.4</f>
        <v>0</v>
      </c>
      <c r="H84">
        <f>'Rotor model (SI)'!J84*CONVERT(1,"kg","lbm")/CONVERT(1,"m","in")^3</f>
        <v>0.28299999999999997</v>
      </c>
      <c r="I84">
        <f>'Rotor model (SI)'!K84*1000000000*CONVERT(1,"N","lbf")/CONVERT(1,"m","in")^2</f>
        <v>30000000</v>
      </c>
      <c r="J84">
        <f>'Rotor model (SI)'!L84</f>
        <v>0.3</v>
      </c>
      <c r="K84" s="7">
        <f t="shared" si="22"/>
        <v>0</v>
      </c>
      <c r="L84" s="6">
        <f t="shared" si="23"/>
        <v>0</v>
      </c>
      <c r="M84" s="6">
        <f t="shared" si="24"/>
        <v>0</v>
      </c>
      <c r="N84" s="6">
        <f t="shared" si="25"/>
        <v>0</v>
      </c>
      <c r="O84" s="106">
        <f>'Rotor model (SI)'!Q84*CONVERT(1,"kg","lbm")</f>
        <v>0</v>
      </c>
      <c r="P84" s="106">
        <f>'Rotor model (SI)'!R84*CONVERT(1,"kg","lbm")*CONVERT(1,"m","in")^2</f>
        <v>0</v>
      </c>
      <c r="Q84" s="106">
        <f>'Rotor model (SI)'!S84*CONVERT(1,"kg","lbm")*CONVERT(1,"m","in")^2</f>
        <v>0</v>
      </c>
      <c r="U84">
        <f>'Rotor model (SI)'!U84*CONVERT(1,"N","lbf")</f>
        <v>0</v>
      </c>
      <c r="V84">
        <f>'Rotor model (SI)'!V84</f>
        <v>0</v>
      </c>
      <c r="W84">
        <f>'Rotor model (SI)'!W84/25.4</f>
        <v>0</v>
      </c>
      <c r="X84">
        <f>'Rotor model (SI)'!X84</f>
        <v>0</v>
      </c>
      <c r="Y84">
        <f>'Rotor model (SI)'!Y84/25.4</f>
        <v>0</v>
      </c>
      <c r="Z84">
        <f>'Rotor model (SI)'!Z84</f>
        <v>0</v>
      </c>
      <c r="AA84">
        <f>'Rotor model (SI)'!AA84</f>
        <v>0</v>
      </c>
      <c r="AB84">
        <f>'Rotor model (SI)'!AB84</f>
        <v>0</v>
      </c>
      <c r="AC84" s="19">
        <f t="shared" si="26"/>
        <v>42.07800000000001</v>
      </c>
      <c r="AD84">
        <f t="shared" si="27"/>
        <v>0</v>
      </c>
      <c r="AE84">
        <f t="shared" si="28"/>
        <v>0</v>
      </c>
      <c r="AF84">
        <f t="shared" si="29"/>
        <v>0</v>
      </c>
      <c r="AG84">
        <f t="shared" si="30"/>
        <v>0</v>
      </c>
      <c r="AH84">
        <f t="shared" si="31"/>
        <v>0</v>
      </c>
    </row>
    <row r="85" spans="1:34" x14ac:dyDescent="0.25">
      <c r="A85">
        <v>80</v>
      </c>
      <c r="B85" t="str">
        <f>IF('Rotor model (SI)'!B85&lt;&gt;"",'Rotor model (SI)'!B85,"")</f>
        <v/>
      </c>
      <c r="C85">
        <f>'Rotor model (SI)'!C85/25.4</f>
        <v>0</v>
      </c>
      <c r="D85">
        <f>'Rotor model (SI)'!F85/25.4</f>
        <v>0</v>
      </c>
      <c r="E85">
        <f>'Rotor model (SI)'!G85/25.4</f>
        <v>0</v>
      </c>
      <c r="F85">
        <f>'Rotor model (SI)'!H85/25.4</f>
        <v>0</v>
      </c>
      <c r="G85">
        <f>'Rotor model (SI)'!I85/25.4</f>
        <v>0</v>
      </c>
      <c r="H85">
        <f>'Rotor model (SI)'!J85*CONVERT(1,"kg","lbm")/CONVERT(1,"m","in")^3</f>
        <v>0.28299999999999997</v>
      </c>
      <c r="I85">
        <f>'Rotor model (SI)'!K85*1000000000*CONVERT(1,"N","lbf")/CONVERT(1,"m","in")^2</f>
        <v>30000000</v>
      </c>
      <c r="J85">
        <f>'Rotor model (SI)'!L85</f>
        <v>0.3</v>
      </c>
      <c r="K85" s="7">
        <f t="shared" si="22"/>
        <v>0</v>
      </c>
      <c r="L85" s="6">
        <f t="shared" si="23"/>
        <v>0</v>
      </c>
      <c r="M85" s="6">
        <f t="shared" si="24"/>
        <v>0</v>
      </c>
      <c r="N85" s="6">
        <f t="shared" si="25"/>
        <v>0</v>
      </c>
      <c r="O85" s="106">
        <f>'Rotor model (SI)'!Q85*CONVERT(1,"kg","lbm")</f>
        <v>0</v>
      </c>
      <c r="P85" s="106">
        <f>'Rotor model (SI)'!R85*CONVERT(1,"kg","lbm")*CONVERT(1,"m","in")^2</f>
        <v>0</v>
      </c>
      <c r="Q85" s="106">
        <f>'Rotor model (SI)'!S85*CONVERT(1,"kg","lbm")*CONVERT(1,"m","in")^2</f>
        <v>0</v>
      </c>
      <c r="U85">
        <f>'Rotor model (SI)'!U85*CONVERT(1,"N","lbf")</f>
        <v>0</v>
      </c>
      <c r="V85">
        <f>'Rotor model (SI)'!V85</f>
        <v>0</v>
      </c>
      <c r="W85">
        <f>'Rotor model (SI)'!W85/25.4</f>
        <v>0</v>
      </c>
      <c r="X85">
        <f>'Rotor model (SI)'!X85</f>
        <v>0</v>
      </c>
      <c r="Y85">
        <f>'Rotor model (SI)'!Y85/25.4</f>
        <v>0</v>
      </c>
      <c r="Z85">
        <f>'Rotor model (SI)'!Z85</f>
        <v>0</v>
      </c>
      <c r="AA85">
        <f>'Rotor model (SI)'!AA85</f>
        <v>0</v>
      </c>
      <c r="AB85">
        <f>'Rotor model (SI)'!AB85</f>
        <v>0</v>
      </c>
      <c r="AC85" s="19">
        <f t="shared" si="26"/>
        <v>42.07800000000001</v>
      </c>
      <c r="AD85">
        <f t="shared" si="27"/>
        <v>0</v>
      </c>
      <c r="AE85">
        <f t="shared" si="28"/>
        <v>0</v>
      </c>
      <c r="AF85">
        <f t="shared" si="29"/>
        <v>0</v>
      </c>
      <c r="AG85">
        <f t="shared" si="30"/>
        <v>0</v>
      </c>
      <c r="AH85">
        <f t="shared" si="31"/>
        <v>0</v>
      </c>
    </row>
    <row r="86" spans="1:34" x14ac:dyDescent="0.25">
      <c r="A86">
        <v>81</v>
      </c>
      <c r="B86" t="str">
        <f>IF('Rotor model (SI)'!B86&lt;&gt;"",'Rotor model (SI)'!B86,"")</f>
        <v/>
      </c>
      <c r="C86">
        <f>'Rotor model (SI)'!C86/25.4</f>
        <v>0</v>
      </c>
      <c r="D86">
        <f>'Rotor model (SI)'!F86/25.4</f>
        <v>0</v>
      </c>
      <c r="E86">
        <f>'Rotor model (SI)'!G86/25.4</f>
        <v>0</v>
      </c>
      <c r="F86">
        <f>'Rotor model (SI)'!H86/25.4</f>
        <v>0</v>
      </c>
      <c r="G86">
        <f>'Rotor model (SI)'!I86/25.4</f>
        <v>0</v>
      </c>
      <c r="H86">
        <f>'Rotor model (SI)'!J86*CONVERT(1,"kg","lbm")/CONVERT(1,"m","in")^3</f>
        <v>0.28299999999999997</v>
      </c>
      <c r="I86">
        <f>'Rotor model (SI)'!K86*1000000000*CONVERT(1,"N","lbf")/CONVERT(1,"m","in")^2</f>
        <v>30000000</v>
      </c>
      <c r="J86">
        <f>'Rotor model (SI)'!L86</f>
        <v>0.3</v>
      </c>
      <c r="K86" s="7">
        <f t="shared" si="22"/>
        <v>0</v>
      </c>
      <c r="L86" s="6">
        <f t="shared" si="23"/>
        <v>0</v>
      </c>
      <c r="M86" s="6">
        <f t="shared" si="24"/>
        <v>0</v>
      </c>
      <c r="N86" s="6">
        <f t="shared" si="25"/>
        <v>0</v>
      </c>
      <c r="O86" s="106">
        <f>'Rotor model (SI)'!Q86*CONVERT(1,"kg","lbm")</f>
        <v>0</v>
      </c>
      <c r="P86" s="106">
        <f>'Rotor model (SI)'!R86*CONVERT(1,"kg","lbm")*CONVERT(1,"m","in")^2</f>
        <v>0</v>
      </c>
      <c r="Q86" s="106">
        <f>'Rotor model (SI)'!S86*CONVERT(1,"kg","lbm")*CONVERT(1,"m","in")^2</f>
        <v>0</v>
      </c>
      <c r="U86">
        <f>'Rotor model (SI)'!U86*CONVERT(1,"N","lbf")</f>
        <v>0</v>
      </c>
      <c r="V86">
        <f>'Rotor model (SI)'!V86</f>
        <v>0</v>
      </c>
      <c r="W86">
        <f>'Rotor model (SI)'!W86/25.4</f>
        <v>0</v>
      </c>
      <c r="X86">
        <f>'Rotor model (SI)'!X86</f>
        <v>0</v>
      </c>
      <c r="Y86">
        <f>'Rotor model (SI)'!Y86/25.4</f>
        <v>0</v>
      </c>
      <c r="Z86">
        <f>'Rotor model (SI)'!Z86</f>
        <v>0</v>
      </c>
      <c r="AA86">
        <f>'Rotor model (SI)'!AA86</f>
        <v>0</v>
      </c>
      <c r="AB86">
        <f>'Rotor model (SI)'!AB86</f>
        <v>0</v>
      </c>
      <c r="AC86" s="19">
        <f t="shared" si="26"/>
        <v>42.07800000000001</v>
      </c>
      <c r="AD86">
        <f t="shared" si="27"/>
        <v>0</v>
      </c>
      <c r="AE86">
        <f t="shared" si="28"/>
        <v>0</v>
      </c>
      <c r="AF86">
        <f t="shared" si="29"/>
        <v>0</v>
      </c>
      <c r="AG86">
        <f t="shared" si="30"/>
        <v>0</v>
      </c>
      <c r="AH86">
        <f t="shared" si="31"/>
        <v>0</v>
      </c>
    </row>
    <row r="87" spans="1:34" x14ac:dyDescent="0.25">
      <c r="A87">
        <v>82</v>
      </c>
      <c r="B87" t="str">
        <f>IF('Rotor model (SI)'!B87&lt;&gt;"",'Rotor model (SI)'!B87,"")</f>
        <v/>
      </c>
      <c r="C87">
        <f>'Rotor model (SI)'!C87/25.4</f>
        <v>0</v>
      </c>
      <c r="D87">
        <f>'Rotor model (SI)'!F87/25.4</f>
        <v>0</v>
      </c>
      <c r="E87">
        <f>'Rotor model (SI)'!G87/25.4</f>
        <v>0</v>
      </c>
      <c r="F87">
        <f>'Rotor model (SI)'!H87/25.4</f>
        <v>0</v>
      </c>
      <c r="G87">
        <f>'Rotor model (SI)'!I87/25.4</f>
        <v>0</v>
      </c>
      <c r="H87">
        <f>'Rotor model (SI)'!J87*CONVERT(1,"kg","lbm")/CONVERT(1,"m","in")^3</f>
        <v>0.28299999999999997</v>
      </c>
      <c r="I87">
        <f>'Rotor model (SI)'!K87*1000000000*CONVERT(1,"N","lbf")/CONVERT(1,"m","in")^2</f>
        <v>30000000</v>
      </c>
      <c r="J87">
        <f>'Rotor model (SI)'!L87</f>
        <v>0.3</v>
      </c>
      <c r="K87" s="7">
        <f t="shared" si="22"/>
        <v>0</v>
      </c>
      <c r="L87" s="6">
        <f t="shared" si="23"/>
        <v>0</v>
      </c>
      <c r="M87" s="6">
        <f t="shared" si="24"/>
        <v>0</v>
      </c>
      <c r="N87" s="6">
        <f t="shared" si="25"/>
        <v>0</v>
      </c>
      <c r="O87" s="106">
        <f>'Rotor model (SI)'!Q87*CONVERT(1,"kg","lbm")</f>
        <v>0</v>
      </c>
      <c r="P87" s="106">
        <f>'Rotor model (SI)'!R87*CONVERT(1,"kg","lbm")*CONVERT(1,"m","in")^2</f>
        <v>0</v>
      </c>
      <c r="Q87" s="106">
        <f>'Rotor model (SI)'!S87*CONVERT(1,"kg","lbm")*CONVERT(1,"m","in")^2</f>
        <v>0</v>
      </c>
      <c r="U87">
        <f>'Rotor model (SI)'!U87*CONVERT(1,"N","lbf")</f>
        <v>0</v>
      </c>
      <c r="V87">
        <f>'Rotor model (SI)'!V87</f>
        <v>0</v>
      </c>
      <c r="W87">
        <f>'Rotor model (SI)'!W87/25.4</f>
        <v>0</v>
      </c>
      <c r="X87">
        <f>'Rotor model (SI)'!X87</f>
        <v>0</v>
      </c>
      <c r="Y87">
        <f>'Rotor model (SI)'!Y87/25.4</f>
        <v>0</v>
      </c>
      <c r="Z87">
        <f>'Rotor model (SI)'!Z87</f>
        <v>0</v>
      </c>
      <c r="AA87">
        <f>'Rotor model (SI)'!AA87</f>
        <v>0</v>
      </c>
      <c r="AB87">
        <f>'Rotor model (SI)'!AB87</f>
        <v>0</v>
      </c>
      <c r="AC87" s="19">
        <f t="shared" si="26"/>
        <v>42.07800000000001</v>
      </c>
      <c r="AD87">
        <f t="shared" si="27"/>
        <v>0</v>
      </c>
      <c r="AE87">
        <f t="shared" si="28"/>
        <v>0</v>
      </c>
      <c r="AF87">
        <f t="shared" si="29"/>
        <v>0</v>
      </c>
      <c r="AG87">
        <f t="shared" si="30"/>
        <v>0</v>
      </c>
      <c r="AH87">
        <f t="shared" si="31"/>
        <v>0</v>
      </c>
    </row>
    <row r="88" spans="1:34" x14ac:dyDescent="0.25">
      <c r="A88">
        <v>83</v>
      </c>
      <c r="B88" t="str">
        <f>IF('Rotor model (SI)'!B88&lt;&gt;"",'Rotor model (SI)'!B88,"")</f>
        <v/>
      </c>
      <c r="C88">
        <f>'Rotor model (SI)'!C88/25.4</f>
        <v>0</v>
      </c>
      <c r="D88">
        <f>'Rotor model (SI)'!F88/25.4</f>
        <v>0</v>
      </c>
      <c r="E88">
        <f>'Rotor model (SI)'!G88/25.4</f>
        <v>0</v>
      </c>
      <c r="F88">
        <f>'Rotor model (SI)'!H88/25.4</f>
        <v>0</v>
      </c>
      <c r="G88">
        <f>'Rotor model (SI)'!I88/25.4</f>
        <v>0</v>
      </c>
      <c r="H88">
        <f>'Rotor model (SI)'!J88*CONVERT(1,"kg","lbm")/CONVERT(1,"m","in")^3</f>
        <v>0.28299999999999997</v>
      </c>
      <c r="I88">
        <f>'Rotor model (SI)'!K88*1000000000*CONVERT(1,"N","lbf")/CONVERT(1,"m","in")^2</f>
        <v>30000000</v>
      </c>
      <c r="J88">
        <f>'Rotor model (SI)'!L88</f>
        <v>0.3</v>
      </c>
      <c r="K88" s="7">
        <f t="shared" si="22"/>
        <v>0</v>
      </c>
      <c r="L88" s="6">
        <f t="shared" si="23"/>
        <v>0</v>
      </c>
      <c r="M88" s="6">
        <f t="shared" si="24"/>
        <v>0</v>
      </c>
      <c r="N88" s="6">
        <f t="shared" si="25"/>
        <v>0</v>
      </c>
      <c r="O88" s="106">
        <f>'Rotor model (SI)'!Q88*CONVERT(1,"kg","lbm")</f>
        <v>0</v>
      </c>
      <c r="P88" s="106">
        <f>'Rotor model (SI)'!R88*CONVERT(1,"kg","lbm")*CONVERT(1,"m","in")^2</f>
        <v>0</v>
      </c>
      <c r="Q88" s="106">
        <f>'Rotor model (SI)'!S88*CONVERT(1,"kg","lbm")*CONVERT(1,"m","in")^2</f>
        <v>0</v>
      </c>
      <c r="U88">
        <f>'Rotor model (SI)'!U88*CONVERT(1,"N","lbf")</f>
        <v>0</v>
      </c>
      <c r="V88">
        <f>'Rotor model (SI)'!V88</f>
        <v>0</v>
      </c>
      <c r="W88">
        <f>'Rotor model (SI)'!W88/25.4</f>
        <v>0</v>
      </c>
      <c r="X88">
        <f>'Rotor model (SI)'!X88</f>
        <v>0</v>
      </c>
      <c r="Y88">
        <f>'Rotor model (SI)'!Y88/25.4</f>
        <v>0</v>
      </c>
      <c r="Z88">
        <f>'Rotor model (SI)'!Z88</f>
        <v>0</v>
      </c>
      <c r="AA88">
        <f>'Rotor model (SI)'!AA88</f>
        <v>0</v>
      </c>
      <c r="AB88">
        <f>'Rotor model (SI)'!AB88</f>
        <v>0</v>
      </c>
      <c r="AC88" s="19">
        <f t="shared" si="26"/>
        <v>42.07800000000001</v>
      </c>
      <c r="AD88">
        <f t="shared" si="27"/>
        <v>0</v>
      </c>
      <c r="AE88">
        <f t="shared" si="28"/>
        <v>0</v>
      </c>
      <c r="AF88">
        <f t="shared" si="29"/>
        <v>0</v>
      </c>
      <c r="AG88">
        <f t="shared" si="30"/>
        <v>0</v>
      </c>
      <c r="AH88">
        <f t="shared" si="31"/>
        <v>0</v>
      </c>
    </row>
    <row r="89" spans="1:34" x14ac:dyDescent="0.25">
      <c r="A89">
        <v>84</v>
      </c>
      <c r="B89" t="str">
        <f>IF('Rotor model (SI)'!B89&lt;&gt;"",'Rotor model (SI)'!B89,"")</f>
        <v/>
      </c>
      <c r="C89">
        <f>'Rotor model (SI)'!C89/25.4</f>
        <v>0</v>
      </c>
      <c r="D89">
        <f>'Rotor model (SI)'!F89/25.4</f>
        <v>0</v>
      </c>
      <c r="E89">
        <f>'Rotor model (SI)'!G89/25.4</f>
        <v>0</v>
      </c>
      <c r="F89">
        <f>'Rotor model (SI)'!H89/25.4</f>
        <v>0</v>
      </c>
      <c r="G89">
        <f>'Rotor model (SI)'!I89/25.4</f>
        <v>0</v>
      </c>
      <c r="H89">
        <f>'Rotor model (SI)'!J89*CONVERT(1,"kg","lbm")/CONVERT(1,"m","in")^3</f>
        <v>0.28299999999999997</v>
      </c>
      <c r="I89">
        <f>'Rotor model (SI)'!K89*1000000000*CONVERT(1,"N","lbf")/CONVERT(1,"m","in")^2</f>
        <v>30000000</v>
      </c>
      <c r="J89">
        <f>'Rotor model (SI)'!L89</f>
        <v>0.3</v>
      </c>
      <c r="K89" s="7">
        <f t="shared" si="22"/>
        <v>0</v>
      </c>
      <c r="L89" s="6">
        <f t="shared" si="23"/>
        <v>0</v>
      </c>
      <c r="M89" s="6">
        <f t="shared" si="24"/>
        <v>0</v>
      </c>
      <c r="N89" s="6">
        <f t="shared" si="25"/>
        <v>0</v>
      </c>
      <c r="O89" s="106">
        <f>'Rotor model (SI)'!Q89*CONVERT(1,"kg","lbm")</f>
        <v>0</v>
      </c>
      <c r="P89" s="106">
        <f>'Rotor model (SI)'!R89*CONVERT(1,"kg","lbm")*CONVERT(1,"m","in")^2</f>
        <v>0</v>
      </c>
      <c r="Q89" s="106">
        <f>'Rotor model (SI)'!S89*CONVERT(1,"kg","lbm")*CONVERT(1,"m","in")^2</f>
        <v>0</v>
      </c>
      <c r="U89">
        <f>'Rotor model (SI)'!U89*CONVERT(1,"N","lbf")</f>
        <v>0</v>
      </c>
      <c r="V89">
        <f>'Rotor model (SI)'!V89</f>
        <v>0</v>
      </c>
      <c r="W89">
        <f>'Rotor model (SI)'!W89/25.4</f>
        <v>0</v>
      </c>
      <c r="X89">
        <f>'Rotor model (SI)'!X89</f>
        <v>0</v>
      </c>
      <c r="Y89">
        <f>'Rotor model (SI)'!Y89/25.4</f>
        <v>0</v>
      </c>
      <c r="Z89">
        <f>'Rotor model (SI)'!Z89</f>
        <v>0</v>
      </c>
      <c r="AA89">
        <f>'Rotor model (SI)'!AA89</f>
        <v>0</v>
      </c>
      <c r="AB89">
        <f>'Rotor model (SI)'!AB89</f>
        <v>0</v>
      </c>
      <c r="AC89" s="19">
        <f t="shared" si="26"/>
        <v>42.07800000000001</v>
      </c>
      <c r="AD89">
        <f t="shared" si="27"/>
        <v>0</v>
      </c>
      <c r="AE89">
        <f t="shared" si="28"/>
        <v>0</v>
      </c>
      <c r="AF89">
        <f t="shared" si="29"/>
        <v>0</v>
      </c>
      <c r="AG89">
        <f t="shared" si="30"/>
        <v>0</v>
      </c>
      <c r="AH89">
        <f t="shared" si="31"/>
        <v>0</v>
      </c>
    </row>
    <row r="90" spans="1:34" x14ac:dyDescent="0.25">
      <c r="A90">
        <v>85</v>
      </c>
      <c r="B90" t="str">
        <f>IF('Rotor model (SI)'!B90&lt;&gt;"",'Rotor model (SI)'!B90,"")</f>
        <v/>
      </c>
      <c r="C90">
        <f>'Rotor model (SI)'!C90/25.4</f>
        <v>0</v>
      </c>
      <c r="D90">
        <f>'Rotor model (SI)'!F90/25.4</f>
        <v>0</v>
      </c>
      <c r="E90">
        <f>'Rotor model (SI)'!G90/25.4</f>
        <v>0</v>
      </c>
      <c r="F90">
        <f>'Rotor model (SI)'!H90/25.4</f>
        <v>0</v>
      </c>
      <c r="G90">
        <f>'Rotor model (SI)'!I90/25.4</f>
        <v>0</v>
      </c>
      <c r="H90">
        <f>'Rotor model (SI)'!J90*CONVERT(1,"kg","lbm")/CONVERT(1,"m","in")^3</f>
        <v>0.28299999999999997</v>
      </c>
      <c r="I90">
        <f>'Rotor model (SI)'!K90*1000000000*CONVERT(1,"N","lbf")/CONVERT(1,"m","in")^2</f>
        <v>30000000</v>
      </c>
      <c r="J90">
        <f>'Rotor model (SI)'!L90</f>
        <v>0.3</v>
      </c>
      <c r="K90" s="7">
        <f t="shared" si="22"/>
        <v>0</v>
      </c>
      <c r="L90" s="6">
        <f t="shared" si="23"/>
        <v>0</v>
      </c>
      <c r="M90" s="6">
        <f t="shared" si="24"/>
        <v>0</v>
      </c>
      <c r="N90" s="6">
        <f t="shared" si="25"/>
        <v>0</v>
      </c>
      <c r="O90" s="106">
        <f>'Rotor model (SI)'!Q90*CONVERT(1,"kg","lbm")</f>
        <v>0</v>
      </c>
      <c r="P90" s="106">
        <f>'Rotor model (SI)'!R90*CONVERT(1,"kg","lbm")*CONVERT(1,"m","in")^2</f>
        <v>0</v>
      </c>
      <c r="Q90" s="106">
        <f>'Rotor model (SI)'!S90*CONVERT(1,"kg","lbm")*CONVERT(1,"m","in")^2</f>
        <v>0</v>
      </c>
      <c r="U90">
        <f>'Rotor model (SI)'!U90*CONVERT(1,"N","lbf")</f>
        <v>0</v>
      </c>
      <c r="V90">
        <f>'Rotor model (SI)'!V90</f>
        <v>0</v>
      </c>
      <c r="W90">
        <f>'Rotor model (SI)'!W90/25.4</f>
        <v>0</v>
      </c>
      <c r="X90">
        <f>'Rotor model (SI)'!X90</f>
        <v>0</v>
      </c>
      <c r="Y90">
        <f>'Rotor model (SI)'!Y90/25.4</f>
        <v>0</v>
      </c>
      <c r="Z90">
        <f>'Rotor model (SI)'!Z90</f>
        <v>0</v>
      </c>
      <c r="AA90">
        <f>'Rotor model (SI)'!AA90</f>
        <v>0</v>
      </c>
      <c r="AB90">
        <f>'Rotor model (SI)'!AB90</f>
        <v>0</v>
      </c>
      <c r="AC90" s="19">
        <f t="shared" si="26"/>
        <v>42.07800000000001</v>
      </c>
      <c r="AD90">
        <f t="shared" si="27"/>
        <v>0</v>
      </c>
      <c r="AE90">
        <f t="shared" si="28"/>
        <v>0</v>
      </c>
      <c r="AF90">
        <f t="shared" si="29"/>
        <v>0</v>
      </c>
      <c r="AG90">
        <f t="shared" si="30"/>
        <v>0</v>
      </c>
      <c r="AH90">
        <f t="shared" si="31"/>
        <v>0</v>
      </c>
    </row>
    <row r="91" spans="1:34" x14ac:dyDescent="0.25">
      <c r="A91">
        <v>86</v>
      </c>
      <c r="B91" t="str">
        <f>IF('Rotor model (SI)'!B91&lt;&gt;"",'Rotor model (SI)'!B91,"")</f>
        <v/>
      </c>
      <c r="C91">
        <f>'Rotor model (SI)'!C91/25.4</f>
        <v>0</v>
      </c>
      <c r="D91">
        <f>'Rotor model (SI)'!F91/25.4</f>
        <v>0</v>
      </c>
      <c r="E91">
        <f>'Rotor model (SI)'!G91/25.4</f>
        <v>0</v>
      </c>
      <c r="F91">
        <f>'Rotor model (SI)'!H91/25.4</f>
        <v>0</v>
      </c>
      <c r="G91">
        <f>'Rotor model (SI)'!I91/25.4</f>
        <v>0</v>
      </c>
      <c r="H91">
        <f>'Rotor model (SI)'!J91*CONVERT(1,"kg","lbm")/CONVERT(1,"m","in")^3</f>
        <v>0.28299999999999997</v>
      </c>
      <c r="I91">
        <f>'Rotor model (SI)'!K91*1000000000*CONVERT(1,"N","lbf")/CONVERT(1,"m","in")^2</f>
        <v>30000000</v>
      </c>
      <c r="J91">
        <f>'Rotor model (SI)'!L91</f>
        <v>0.3</v>
      </c>
      <c r="K91" s="7">
        <f t="shared" si="22"/>
        <v>0</v>
      </c>
      <c r="L91" s="6">
        <f t="shared" si="23"/>
        <v>0</v>
      </c>
      <c r="M91" s="6">
        <f t="shared" si="24"/>
        <v>0</v>
      </c>
      <c r="N91" s="6">
        <f t="shared" si="25"/>
        <v>0</v>
      </c>
      <c r="O91" s="106">
        <f>'Rotor model (SI)'!Q91*CONVERT(1,"kg","lbm")</f>
        <v>0</v>
      </c>
      <c r="P91" s="106">
        <f>'Rotor model (SI)'!R91*CONVERT(1,"kg","lbm")*CONVERT(1,"m","in")^2</f>
        <v>0</v>
      </c>
      <c r="Q91" s="106">
        <f>'Rotor model (SI)'!S91*CONVERT(1,"kg","lbm")*CONVERT(1,"m","in")^2</f>
        <v>0</v>
      </c>
      <c r="U91">
        <f>'Rotor model (SI)'!U91*CONVERT(1,"N","lbf")</f>
        <v>0</v>
      </c>
      <c r="V91">
        <f>'Rotor model (SI)'!V91</f>
        <v>0</v>
      </c>
      <c r="W91">
        <f>'Rotor model (SI)'!W91/25.4</f>
        <v>0</v>
      </c>
      <c r="X91">
        <f>'Rotor model (SI)'!X91</f>
        <v>0</v>
      </c>
      <c r="Y91">
        <f>'Rotor model (SI)'!Y91/25.4</f>
        <v>0</v>
      </c>
      <c r="Z91">
        <f>'Rotor model (SI)'!Z91</f>
        <v>0</v>
      </c>
      <c r="AA91">
        <f>'Rotor model (SI)'!AA91</f>
        <v>0</v>
      </c>
      <c r="AB91">
        <f>'Rotor model (SI)'!AB91</f>
        <v>0</v>
      </c>
      <c r="AC91" s="19">
        <f t="shared" si="26"/>
        <v>42.07800000000001</v>
      </c>
      <c r="AD91">
        <f t="shared" si="27"/>
        <v>0</v>
      </c>
      <c r="AE91">
        <f t="shared" si="28"/>
        <v>0</v>
      </c>
      <c r="AF91">
        <f t="shared" si="29"/>
        <v>0</v>
      </c>
      <c r="AG91">
        <f t="shared" si="30"/>
        <v>0</v>
      </c>
      <c r="AH91">
        <f t="shared" si="31"/>
        <v>0</v>
      </c>
    </row>
    <row r="92" spans="1:34" x14ac:dyDescent="0.25">
      <c r="A92">
        <v>87</v>
      </c>
      <c r="B92" t="str">
        <f>IF('Rotor model (SI)'!B92&lt;&gt;"",'Rotor model (SI)'!B92,"")</f>
        <v/>
      </c>
      <c r="C92">
        <f>'Rotor model (SI)'!C92/25.4</f>
        <v>0</v>
      </c>
      <c r="D92">
        <f>'Rotor model (SI)'!F92/25.4</f>
        <v>0</v>
      </c>
      <c r="E92">
        <f>'Rotor model (SI)'!G92/25.4</f>
        <v>0</v>
      </c>
      <c r="F92">
        <f>'Rotor model (SI)'!H92/25.4</f>
        <v>0</v>
      </c>
      <c r="G92">
        <f>'Rotor model (SI)'!I92/25.4</f>
        <v>0</v>
      </c>
      <c r="H92">
        <f>'Rotor model (SI)'!J92*CONVERT(1,"kg","lbm")/CONVERT(1,"m","in")^3</f>
        <v>0.28299999999999997</v>
      </c>
      <c r="I92">
        <f>'Rotor model (SI)'!K92*1000000000*CONVERT(1,"N","lbf")/CONVERT(1,"m","in")^2</f>
        <v>30000000</v>
      </c>
      <c r="J92">
        <f>'Rotor model (SI)'!L92</f>
        <v>0.3</v>
      </c>
      <c r="K92" s="7">
        <f t="shared" si="22"/>
        <v>0</v>
      </c>
      <c r="L92" s="6">
        <f t="shared" si="23"/>
        <v>0</v>
      </c>
      <c r="M92" s="6">
        <f t="shared" si="24"/>
        <v>0</v>
      </c>
      <c r="N92" s="6">
        <f t="shared" si="25"/>
        <v>0</v>
      </c>
      <c r="O92" s="106">
        <f>'Rotor model (SI)'!Q92*CONVERT(1,"kg","lbm")</f>
        <v>0</v>
      </c>
      <c r="P92" s="106">
        <f>'Rotor model (SI)'!R92*CONVERT(1,"kg","lbm")*CONVERT(1,"m","in")^2</f>
        <v>0</v>
      </c>
      <c r="Q92" s="106">
        <f>'Rotor model (SI)'!S92*CONVERT(1,"kg","lbm")*CONVERT(1,"m","in")^2</f>
        <v>0</v>
      </c>
      <c r="U92">
        <f>'Rotor model (SI)'!U92*CONVERT(1,"N","lbf")</f>
        <v>0</v>
      </c>
      <c r="V92">
        <f>'Rotor model (SI)'!V92</f>
        <v>0</v>
      </c>
      <c r="W92">
        <f>'Rotor model (SI)'!W92/25.4</f>
        <v>0</v>
      </c>
      <c r="X92">
        <f>'Rotor model (SI)'!X92</f>
        <v>0</v>
      </c>
      <c r="Y92">
        <f>'Rotor model (SI)'!Y92/25.4</f>
        <v>0</v>
      </c>
      <c r="Z92">
        <f>'Rotor model (SI)'!Z92</f>
        <v>0</v>
      </c>
      <c r="AA92">
        <f>'Rotor model (SI)'!AA92</f>
        <v>0</v>
      </c>
      <c r="AB92">
        <f>'Rotor model (SI)'!AB92</f>
        <v>0</v>
      </c>
      <c r="AC92" s="19">
        <f t="shared" si="26"/>
        <v>42.07800000000001</v>
      </c>
      <c r="AD92">
        <f t="shared" si="27"/>
        <v>0</v>
      </c>
      <c r="AE92">
        <f t="shared" si="28"/>
        <v>0</v>
      </c>
      <c r="AF92">
        <f t="shared" si="29"/>
        <v>0</v>
      </c>
      <c r="AG92">
        <f t="shared" si="30"/>
        <v>0</v>
      </c>
      <c r="AH92">
        <f t="shared" si="31"/>
        <v>0</v>
      </c>
    </row>
    <row r="93" spans="1:34" x14ac:dyDescent="0.25">
      <c r="A93">
        <v>88</v>
      </c>
      <c r="B93" t="str">
        <f>IF('Rotor model (SI)'!B93&lt;&gt;"",'Rotor model (SI)'!B93,"")</f>
        <v/>
      </c>
      <c r="C93">
        <f>'Rotor model (SI)'!C93/25.4</f>
        <v>0</v>
      </c>
      <c r="D93">
        <f>'Rotor model (SI)'!F93/25.4</f>
        <v>0</v>
      </c>
      <c r="E93">
        <f>'Rotor model (SI)'!G93/25.4</f>
        <v>0</v>
      </c>
      <c r="F93">
        <f>'Rotor model (SI)'!H93/25.4</f>
        <v>0</v>
      </c>
      <c r="G93">
        <f>'Rotor model (SI)'!I93/25.4</f>
        <v>0</v>
      </c>
      <c r="H93">
        <f>'Rotor model (SI)'!J93*CONVERT(1,"kg","lbm")/CONVERT(1,"m","in")^3</f>
        <v>0.28299999999999997</v>
      </c>
      <c r="I93">
        <f>'Rotor model (SI)'!K93*1000000000*CONVERT(1,"N","lbf")/CONVERT(1,"m","in")^2</f>
        <v>30000000</v>
      </c>
      <c r="J93">
        <f>'Rotor model (SI)'!L93</f>
        <v>0.3</v>
      </c>
      <c r="K93" s="7">
        <f t="shared" si="22"/>
        <v>0</v>
      </c>
      <c r="L93" s="6">
        <f t="shared" si="23"/>
        <v>0</v>
      </c>
      <c r="M93" s="6">
        <f t="shared" si="24"/>
        <v>0</v>
      </c>
      <c r="N93" s="6">
        <f t="shared" si="25"/>
        <v>0</v>
      </c>
      <c r="O93" s="106">
        <f>'Rotor model (SI)'!Q93*CONVERT(1,"kg","lbm")</f>
        <v>0</v>
      </c>
      <c r="P93" s="106">
        <f>'Rotor model (SI)'!R93*CONVERT(1,"kg","lbm")*CONVERT(1,"m","in")^2</f>
        <v>0</v>
      </c>
      <c r="Q93" s="106">
        <f>'Rotor model (SI)'!S93*CONVERT(1,"kg","lbm")*CONVERT(1,"m","in")^2</f>
        <v>0</v>
      </c>
      <c r="U93">
        <f>'Rotor model (SI)'!U93*CONVERT(1,"N","lbf")</f>
        <v>0</v>
      </c>
      <c r="V93">
        <f>'Rotor model (SI)'!V93</f>
        <v>0</v>
      </c>
      <c r="W93">
        <f>'Rotor model (SI)'!W93/25.4</f>
        <v>0</v>
      </c>
      <c r="X93">
        <f>'Rotor model (SI)'!X93</f>
        <v>0</v>
      </c>
      <c r="Y93">
        <f>'Rotor model (SI)'!Y93/25.4</f>
        <v>0</v>
      </c>
      <c r="Z93">
        <f>'Rotor model (SI)'!Z93</f>
        <v>0</v>
      </c>
      <c r="AA93">
        <f>'Rotor model (SI)'!AA93</f>
        <v>0</v>
      </c>
      <c r="AB93">
        <f>'Rotor model (SI)'!AB93</f>
        <v>0</v>
      </c>
      <c r="AC93" s="19">
        <f t="shared" si="26"/>
        <v>42.07800000000001</v>
      </c>
      <c r="AD93">
        <f t="shared" si="27"/>
        <v>0</v>
      </c>
      <c r="AE93">
        <f t="shared" si="28"/>
        <v>0</v>
      </c>
      <c r="AF93">
        <f t="shared" si="29"/>
        <v>0</v>
      </c>
      <c r="AG93">
        <f t="shared" si="30"/>
        <v>0</v>
      </c>
      <c r="AH93">
        <f t="shared" si="31"/>
        <v>0</v>
      </c>
    </row>
    <row r="94" spans="1:34" x14ac:dyDescent="0.25">
      <c r="A94">
        <v>89</v>
      </c>
      <c r="B94" t="str">
        <f>IF('Rotor model (SI)'!B94&lt;&gt;"",'Rotor model (SI)'!B94,"")</f>
        <v/>
      </c>
      <c r="C94">
        <f>'Rotor model (SI)'!C94/25.4</f>
        <v>0</v>
      </c>
      <c r="D94">
        <f>'Rotor model (SI)'!F94/25.4</f>
        <v>0</v>
      </c>
      <c r="E94">
        <f>'Rotor model (SI)'!G94/25.4</f>
        <v>0</v>
      </c>
      <c r="F94">
        <f>'Rotor model (SI)'!H94/25.4</f>
        <v>0</v>
      </c>
      <c r="G94">
        <f>'Rotor model (SI)'!I94/25.4</f>
        <v>0</v>
      </c>
      <c r="H94">
        <f>'Rotor model (SI)'!J94*CONVERT(1,"kg","lbm")/CONVERT(1,"m","in")^3</f>
        <v>0.28299999999999997</v>
      </c>
      <c r="I94">
        <f>'Rotor model (SI)'!K94*1000000000*CONVERT(1,"N","lbf")/CONVERT(1,"m","in")^2</f>
        <v>30000000</v>
      </c>
      <c r="J94">
        <f>'Rotor model (SI)'!L94</f>
        <v>0.3</v>
      </c>
      <c r="K94" s="7">
        <f t="shared" si="22"/>
        <v>0</v>
      </c>
      <c r="L94" s="6">
        <f t="shared" si="23"/>
        <v>0</v>
      </c>
      <c r="M94" s="6">
        <f t="shared" si="24"/>
        <v>0</v>
      </c>
      <c r="N94" s="6">
        <f t="shared" si="25"/>
        <v>0</v>
      </c>
      <c r="O94" s="106">
        <f>'Rotor model (SI)'!Q94*CONVERT(1,"kg","lbm")</f>
        <v>0</v>
      </c>
      <c r="P94" s="106">
        <f>'Rotor model (SI)'!R94*CONVERT(1,"kg","lbm")*CONVERT(1,"m","in")^2</f>
        <v>0</v>
      </c>
      <c r="Q94" s="106">
        <f>'Rotor model (SI)'!S94*CONVERT(1,"kg","lbm")*CONVERT(1,"m","in")^2</f>
        <v>0</v>
      </c>
      <c r="U94">
        <f>'Rotor model (SI)'!U94*CONVERT(1,"N","lbf")</f>
        <v>0</v>
      </c>
      <c r="V94">
        <f>'Rotor model (SI)'!V94</f>
        <v>0</v>
      </c>
      <c r="W94">
        <f>'Rotor model (SI)'!W94/25.4</f>
        <v>0</v>
      </c>
      <c r="X94">
        <f>'Rotor model (SI)'!X94</f>
        <v>0</v>
      </c>
      <c r="Y94">
        <f>'Rotor model (SI)'!Y94/25.4</f>
        <v>0</v>
      </c>
      <c r="Z94">
        <f>'Rotor model (SI)'!Z94</f>
        <v>0</v>
      </c>
      <c r="AA94">
        <f>'Rotor model (SI)'!AA94</f>
        <v>0</v>
      </c>
      <c r="AB94">
        <f>'Rotor model (SI)'!AB94</f>
        <v>0</v>
      </c>
      <c r="AC94" s="19">
        <f t="shared" si="26"/>
        <v>42.07800000000001</v>
      </c>
      <c r="AD94">
        <f t="shared" si="27"/>
        <v>0</v>
      </c>
      <c r="AE94">
        <f t="shared" si="28"/>
        <v>0</v>
      </c>
      <c r="AF94">
        <f t="shared" si="29"/>
        <v>0</v>
      </c>
      <c r="AG94">
        <f t="shared" si="30"/>
        <v>0</v>
      </c>
      <c r="AH94">
        <f t="shared" si="31"/>
        <v>0</v>
      </c>
    </row>
    <row r="95" spans="1:34" x14ac:dyDescent="0.25">
      <c r="A95">
        <v>90</v>
      </c>
      <c r="B95" t="str">
        <f>IF('Rotor model (SI)'!B95&lt;&gt;"",'Rotor model (SI)'!B95,"")</f>
        <v/>
      </c>
      <c r="C95">
        <f>'Rotor model (SI)'!C95/25.4</f>
        <v>0</v>
      </c>
      <c r="D95">
        <f>'Rotor model (SI)'!F95/25.4</f>
        <v>0</v>
      </c>
      <c r="E95">
        <f>'Rotor model (SI)'!G95/25.4</f>
        <v>0</v>
      </c>
      <c r="F95">
        <f>'Rotor model (SI)'!H95/25.4</f>
        <v>0</v>
      </c>
      <c r="G95">
        <f>'Rotor model (SI)'!I95/25.4</f>
        <v>0</v>
      </c>
      <c r="H95">
        <f>'Rotor model (SI)'!J95*CONVERT(1,"kg","lbm")/CONVERT(1,"m","in")^3</f>
        <v>0.28299999999999997</v>
      </c>
      <c r="I95">
        <f>'Rotor model (SI)'!K95*1000000000*CONVERT(1,"N","lbf")/CONVERT(1,"m","in")^2</f>
        <v>30000000</v>
      </c>
      <c r="J95">
        <f>'Rotor model (SI)'!L95</f>
        <v>0.3</v>
      </c>
      <c r="K95" s="7">
        <f t="shared" si="22"/>
        <v>0</v>
      </c>
      <c r="L95" s="6">
        <f t="shared" si="23"/>
        <v>0</v>
      </c>
      <c r="M95" s="6">
        <f t="shared" si="24"/>
        <v>0</v>
      </c>
      <c r="N95" s="6">
        <f t="shared" si="25"/>
        <v>0</v>
      </c>
      <c r="O95" s="106">
        <f>'Rotor model (SI)'!Q95*CONVERT(1,"kg","lbm")</f>
        <v>0</v>
      </c>
      <c r="P95" s="106">
        <f>'Rotor model (SI)'!R95*CONVERT(1,"kg","lbm")*CONVERT(1,"m","in")^2</f>
        <v>0</v>
      </c>
      <c r="Q95" s="106">
        <f>'Rotor model (SI)'!S95*CONVERT(1,"kg","lbm")*CONVERT(1,"m","in")^2</f>
        <v>0</v>
      </c>
      <c r="U95">
        <f>'Rotor model (SI)'!U95*CONVERT(1,"N","lbf")</f>
        <v>0</v>
      </c>
      <c r="V95">
        <f>'Rotor model (SI)'!V95</f>
        <v>0</v>
      </c>
      <c r="W95">
        <f>'Rotor model (SI)'!W95/25.4</f>
        <v>0</v>
      </c>
      <c r="X95">
        <f>'Rotor model (SI)'!X95</f>
        <v>0</v>
      </c>
      <c r="Y95">
        <f>'Rotor model (SI)'!Y95/25.4</f>
        <v>0</v>
      </c>
      <c r="Z95">
        <f>'Rotor model (SI)'!Z95</f>
        <v>0</v>
      </c>
      <c r="AA95">
        <f>'Rotor model (SI)'!AA95</f>
        <v>0</v>
      </c>
      <c r="AB95">
        <f>'Rotor model (SI)'!AB95</f>
        <v>0</v>
      </c>
      <c r="AC95" s="19">
        <f t="shared" si="26"/>
        <v>42.07800000000001</v>
      </c>
      <c r="AD95">
        <f t="shared" si="27"/>
        <v>0</v>
      </c>
      <c r="AE95">
        <f t="shared" si="28"/>
        <v>0</v>
      </c>
      <c r="AF95">
        <f t="shared" si="29"/>
        <v>0</v>
      </c>
      <c r="AG95">
        <f t="shared" si="30"/>
        <v>0</v>
      </c>
      <c r="AH95">
        <f t="shared" si="31"/>
        <v>0</v>
      </c>
    </row>
    <row r="96" spans="1:34" x14ac:dyDescent="0.25">
      <c r="A96">
        <v>91</v>
      </c>
      <c r="B96" t="str">
        <f>IF('Rotor model (SI)'!B96&lt;&gt;"",'Rotor model (SI)'!B96,"")</f>
        <v/>
      </c>
      <c r="C96">
        <f>'Rotor model (SI)'!C96/25.4</f>
        <v>0</v>
      </c>
      <c r="D96">
        <f>'Rotor model (SI)'!F96/25.4</f>
        <v>0</v>
      </c>
      <c r="E96">
        <f>'Rotor model (SI)'!G96/25.4</f>
        <v>0</v>
      </c>
      <c r="F96">
        <f>'Rotor model (SI)'!H96/25.4</f>
        <v>0</v>
      </c>
      <c r="G96">
        <f>'Rotor model (SI)'!I96/25.4</f>
        <v>0</v>
      </c>
      <c r="H96">
        <f>'Rotor model (SI)'!J96*CONVERT(1,"kg","lbm")/CONVERT(1,"m","in")^3</f>
        <v>0.28299999999999997</v>
      </c>
      <c r="I96">
        <f>'Rotor model (SI)'!K96*1000000000*CONVERT(1,"N","lbf")/CONVERT(1,"m","in")^2</f>
        <v>30000000</v>
      </c>
      <c r="J96">
        <f>'Rotor model (SI)'!L96</f>
        <v>0.3</v>
      </c>
      <c r="K96" s="7">
        <f t="shared" si="22"/>
        <v>0</v>
      </c>
      <c r="L96" s="6">
        <f t="shared" si="23"/>
        <v>0</v>
      </c>
      <c r="M96" s="6">
        <f t="shared" si="24"/>
        <v>0</v>
      </c>
      <c r="N96" s="6">
        <f t="shared" si="25"/>
        <v>0</v>
      </c>
      <c r="O96" s="106">
        <f>'Rotor model (SI)'!Q96*CONVERT(1,"kg","lbm")</f>
        <v>0</v>
      </c>
      <c r="P96" s="106">
        <f>'Rotor model (SI)'!R96*CONVERT(1,"kg","lbm")*CONVERT(1,"m","in")^2</f>
        <v>0</v>
      </c>
      <c r="Q96" s="106">
        <f>'Rotor model (SI)'!S96*CONVERT(1,"kg","lbm")*CONVERT(1,"m","in")^2</f>
        <v>0</v>
      </c>
      <c r="U96">
        <f>'Rotor model (SI)'!U96*CONVERT(1,"N","lbf")</f>
        <v>0</v>
      </c>
      <c r="V96">
        <f>'Rotor model (SI)'!V96</f>
        <v>0</v>
      </c>
      <c r="W96">
        <f>'Rotor model (SI)'!W96/25.4</f>
        <v>0</v>
      </c>
      <c r="X96">
        <f>'Rotor model (SI)'!X96</f>
        <v>0</v>
      </c>
      <c r="Y96">
        <f>'Rotor model (SI)'!Y96/25.4</f>
        <v>0</v>
      </c>
      <c r="Z96">
        <f>'Rotor model (SI)'!Z96</f>
        <v>0</v>
      </c>
      <c r="AA96">
        <f>'Rotor model (SI)'!AA96</f>
        <v>0</v>
      </c>
      <c r="AB96">
        <f>'Rotor model (SI)'!AB96</f>
        <v>0</v>
      </c>
      <c r="AC96" s="19">
        <f t="shared" si="26"/>
        <v>42.07800000000001</v>
      </c>
      <c r="AD96">
        <f t="shared" si="27"/>
        <v>0</v>
      </c>
      <c r="AE96">
        <f t="shared" si="28"/>
        <v>0</v>
      </c>
      <c r="AF96">
        <f t="shared" si="29"/>
        <v>0</v>
      </c>
      <c r="AG96">
        <f t="shared" si="30"/>
        <v>0</v>
      </c>
      <c r="AH96">
        <f t="shared" si="31"/>
        <v>0</v>
      </c>
    </row>
    <row r="97" spans="1:34" x14ac:dyDescent="0.25">
      <c r="A97">
        <v>92</v>
      </c>
      <c r="B97" t="str">
        <f>IF('Rotor model (SI)'!B97&lt;&gt;"",'Rotor model (SI)'!B97,"")</f>
        <v/>
      </c>
      <c r="C97">
        <f>'Rotor model (SI)'!C97/25.4</f>
        <v>0</v>
      </c>
      <c r="D97">
        <f>'Rotor model (SI)'!F97/25.4</f>
        <v>0</v>
      </c>
      <c r="E97">
        <f>'Rotor model (SI)'!G97/25.4</f>
        <v>0</v>
      </c>
      <c r="F97">
        <f>'Rotor model (SI)'!H97/25.4</f>
        <v>0</v>
      </c>
      <c r="G97">
        <f>'Rotor model (SI)'!I97/25.4</f>
        <v>0</v>
      </c>
      <c r="H97">
        <f>'Rotor model (SI)'!J97*CONVERT(1,"kg","lbm")/CONVERT(1,"m","in")^3</f>
        <v>0.28299999999999997</v>
      </c>
      <c r="I97">
        <f>'Rotor model (SI)'!K97*1000000000*CONVERT(1,"N","lbf")/CONVERT(1,"m","in")^2</f>
        <v>30000000</v>
      </c>
      <c r="J97">
        <f>'Rotor model (SI)'!L97</f>
        <v>0.3</v>
      </c>
      <c r="K97" s="7">
        <f t="shared" si="22"/>
        <v>0</v>
      </c>
      <c r="L97" s="6">
        <f t="shared" si="23"/>
        <v>0</v>
      </c>
      <c r="M97" s="6">
        <f t="shared" si="24"/>
        <v>0</v>
      </c>
      <c r="N97" s="6">
        <f t="shared" si="25"/>
        <v>0</v>
      </c>
      <c r="O97" s="106">
        <f>'Rotor model (SI)'!Q97*CONVERT(1,"kg","lbm")</f>
        <v>0</v>
      </c>
      <c r="P97" s="106">
        <f>'Rotor model (SI)'!R97*CONVERT(1,"kg","lbm")*CONVERT(1,"m","in")^2</f>
        <v>0</v>
      </c>
      <c r="Q97" s="106">
        <f>'Rotor model (SI)'!S97*CONVERT(1,"kg","lbm")*CONVERT(1,"m","in")^2</f>
        <v>0</v>
      </c>
      <c r="U97">
        <f>'Rotor model (SI)'!U97*CONVERT(1,"N","lbf")</f>
        <v>0</v>
      </c>
      <c r="V97">
        <f>'Rotor model (SI)'!V97</f>
        <v>0</v>
      </c>
      <c r="W97">
        <f>'Rotor model (SI)'!W97/25.4</f>
        <v>0</v>
      </c>
      <c r="X97">
        <f>'Rotor model (SI)'!X97</f>
        <v>0</v>
      </c>
      <c r="Y97">
        <f>'Rotor model (SI)'!Y97/25.4</f>
        <v>0</v>
      </c>
      <c r="Z97">
        <f>'Rotor model (SI)'!Z97</f>
        <v>0</v>
      </c>
      <c r="AA97">
        <f>'Rotor model (SI)'!AA97</f>
        <v>0</v>
      </c>
      <c r="AB97">
        <f>'Rotor model (SI)'!AB97</f>
        <v>0</v>
      </c>
      <c r="AC97" s="19">
        <f t="shared" si="26"/>
        <v>42.07800000000001</v>
      </c>
      <c r="AD97">
        <f t="shared" si="27"/>
        <v>0</v>
      </c>
      <c r="AE97">
        <f t="shared" si="28"/>
        <v>0</v>
      </c>
      <c r="AF97">
        <f t="shared" si="29"/>
        <v>0</v>
      </c>
      <c r="AG97">
        <f t="shared" si="30"/>
        <v>0</v>
      </c>
      <c r="AH97">
        <f t="shared" si="31"/>
        <v>0</v>
      </c>
    </row>
    <row r="98" spans="1:34" x14ac:dyDescent="0.25">
      <c r="A98">
        <v>93</v>
      </c>
      <c r="B98" t="str">
        <f>IF('Rotor model (SI)'!B98&lt;&gt;"",'Rotor model (SI)'!B98,"")</f>
        <v/>
      </c>
      <c r="C98">
        <f>'Rotor model (SI)'!C98/25.4</f>
        <v>0</v>
      </c>
      <c r="D98">
        <f>'Rotor model (SI)'!F98/25.4</f>
        <v>0</v>
      </c>
      <c r="E98">
        <f>'Rotor model (SI)'!G98/25.4</f>
        <v>0</v>
      </c>
      <c r="F98">
        <f>'Rotor model (SI)'!H98/25.4</f>
        <v>0</v>
      </c>
      <c r="G98">
        <f>'Rotor model (SI)'!I98/25.4</f>
        <v>0</v>
      </c>
      <c r="H98">
        <f>'Rotor model (SI)'!J98*CONVERT(1,"kg","lbm")/CONVERT(1,"m","in")^3</f>
        <v>0.28299999999999997</v>
      </c>
      <c r="I98">
        <f>'Rotor model (SI)'!K98*1000000000*CONVERT(1,"N","lbf")/CONVERT(1,"m","in")^2</f>
        <v>30000000</v>
      </c>
      <c r="J98">
        <f>'Rotor model (SI)'!L98</f>
        <v>0.3</v>
      </c>
      <c r="K98" s="7">
        <f t="shared" si="22"/>
        <v>0</v>
      </c>
      <c r="L98" s="6">
        <f t="shared" si="23"/>
        <v>0</v>
      </c>
      <c r="M98" s="6">
        <f t="shared" si="24"/>
        <v>0</v>
      </c>
      <c r="N98" s="6">
        <f t="shared" si="25"/>
        <v>0</v>
      </c>
      <c r="O98" s="106">
        <f>'Rotor model (SI)'!Q98*CONVERT(1,"kg","lbm")</f>
        <v>0</v>
      </c>
      <c r="P98" s="106">
        <f>'Rotor model (SI)'!R98*CONVERT(1,"kg","lbm")*CONVERT(1,"m","in")^2</f>
        <v>0</v>
      </c>
      <c r="Q98" s="106">
        <f>'Rotor model (SI)'!S98*CONVERT(1,"kg","lbm")*CONVERT(1,"m","in")^2</f>
        <v>0</v>
      </c>
      <c r="U98">
        <f>'Rotor model (SI)'!U98*CONVERT(1,"N","lbf")</f>
        <v>0</v>
      </c>
      <c r="V98">
        <f>'Rotor model (SI)'!V98</f>
        <v>0</v>
      </c>
      <c r="W98">
        <f>'Rotor model (SI)'!W98/25.4</f>
        <v>0</v>
      </c>
      <c r="X98">
        <f>'Rotor model (SI)'!X98</f>
        <v>0</v>
      </c>
      <c r="Y98">
        <f>'Rotor model (SI)'!Y98/25.4</f>
        <v>0</v>
      </c>
      <c r="Z98">
        <f>'Rotor model (SI)'!Z98</f>
        <v>0</v>
      </c>
      <c r="AA98">
        <f>'Rotor model (SI)'!AA98</f>
        <v>0</v>
      </c>
      <c r="AB98">
        <f>'Rotor model (SI)'!AB98</f>
        <v>0</v>
      </c>
      <c r="AC98" s="19">
        <f t="shared" si="26"/>
        <v>42.07800000000001</v>
      </c>
      <c r="AD98">
        <f t="shared" si="27"/>
        <v>0</v>
      </c>
      <c r="AE98">
        <f t="shared" si="28"/>
        <v>0</v>
      </c>
      <c r="AF98">
        <f t="shared" si="29"/>
        <v>0</v>
      </c>
      <c r="AG98">
        <f t="shared" si="30"/>
        <v>0</v>
      </c>
      <c r="AH98">
        <f t="shared" si="31"/>
        <v>0</v>
      </c>
    </row>
    <row r="99" spans="1:34" x14ac:dyDescent="0.25">
      <c r="A99">
        <v>94</v>
      </c>
      <c r="B99" t="str">
        <f>IF('Rotor model (SI)'!B99&lt;&gt;"",'Rotor model (SI)'!B99,"")</f>
        <v/>
      </c>
      <c r="C99">
        <f>'Rotor model (SI)'!C99/25.4</f>
        <v>0</v>
      </c>
      <c r="D99">
        <f>'Rotor model (SI)'!F99/25.4</f>
        <v>0</v>
      </c>
      <c r="E99">
        <f>'Rotor model (SI)'!G99/25.4</f>
        <v>0</v>
      </c>
      <c r="F99">
        <f>'Rotor model (SI)'!H99/25.4</f>
        <v>0</v>
      </c>
      <c r="G99">
        <f>'Rotor model (SI)'!I99/25.4</f>
        <v>0</v>
      </c>
      <c r="H99">
        <f>'Rotor model (SI)'!J99*CONVERT(1,"kg","lbm")/CONVERT(1,"m","in")^3</f>
        <v>0.28299999999999997</v>
      </c>
      <c r="I99">
        <f>'Rotor model (SI)'!K99*1000000000*CONVERT(1,"N","lbf")/CONVERT(1,"m","in")^2</f>
        <v>30000000</v>
      </c>
      <c r="J99">
        <f>'Rotor model (SI)'!L99</f>
        <v>0.3</v>
      </c>
      <c r="K99" s="7">
        <f t="shared" si="22"/>
        <v>0</v>
      </c>
      <c r="L99" s="6">
        <f t="shared" si="23"/>
        <v>0</v>
      </c>
      <c r="M99" s="6">
        <f t="shared" si="24"/>
        <v>0</v>
      </c>
      <c r="N99" s="6">
        <f t="shared" si="25"/>
        <v>0</v>
      </c>
      <c r="O99" s="106">
        <f>'Rotor model (SI)'!Q99*CONVERT(1,"kg","lbm")</f>
        <v>0</v>
      </c>
      <c r="P99" s="106">
        <f>'Rotor model (SI)'!R99*CONVERT(1,"kg","lbm")*CONVERT(1,"m","in")^2</f>
        <v>0</v>
      </c>
      <c r="Q99" s="106">
        <f>'Rotor model (SI)'!S99*CONVERT(1,"kg","lbm")*CONVERT(1,"m","in")^2</f>
        <v>0</v>
      </c>
      <c r="U99">
        <f>'Rotor model (SI)'!U99*CONVERT(1,"N","lbf")</f>
        <v>0</v>
      </c>
      <c r="V99">
        <f>'Rotor model (SI)'!V99</f>
        <v>0</v>
      </c>
      <c r="W99">
        <f>'Rotor model (SI)'!W99/25.4</f>
        <v>0</v>
      </c>
      <c r="X99">
        <f>'Rotor model (SI)'!X99</f>
        <v>0</v>
      </c>
      <c r="Y99">
        <f>'Rotor model (SI)'!Y99/25.4</f>
        <v>0</v>
      </c>
      <c r="Z99">
        <f>'Rotor model (SI)'!Z99</f>
        <v>0</v>
      </c>
      <c r="AA99">
        <f>'Rotor model (SI)'!AA99</f>
        <v>0</v>
      </c>
      <c r="AB99">
        <f>'Rotor model (SI)'!AB99</f>
        <v>0</v>
      </c>
      <c r="AC99" s="19">
        <f t="shared" si="26"/>
        <v>42.07800000000001</v>
      </c>
      <c r="AD99">
        <f t="shared" si="27"/>
        <v>0</v>
      </c>
      <c r="AE99">
        <f t="shared" si="28"/>
        <v>0</v>
      </c>
      <c r="AF99">
        <f t="shared" si="29"/>
        <v>0</v>
      </c>
      <c r="AG99">
        <f t="shared" si="30"/>
        <v>0</v>
      </c>
      <c r="AH99">
        <f t="shared" si="31"/>
        <v>0</v>
      </c>
    </row>
    <row r="101" spans="1:34" x14ac:dyDescent="0.25">
      <c r="B101" s="8" t="s">
        <v>93</v>
      </c>
      <c r="C101" s="47">
        <f>SUM(C6:C99)</f>
        <v>42.07800000000001</v>
      </c>
      <c r="D101" t="s">
        <v>126</v>
      </c>
      <c r="E101" s="8" t="s">
        <v>255</v>
      </c>
      <c r="F101" s="8" t="s">
        <v>256</v>
      </c>
      <c r="G101" s="8" t="s">
        <v>245</v>
      </c>
      <c r="H101" s="8"/>
      <c r="I101" s="8"/>
      <c r="J101" s="8"/>
      <c r="K101" s="48">
        <f>SUM(K6:K99)</f>
        <v>88.628145708448997</v>
      </c>
      <c r="L101" s="48">
        <f t="shared" ref="L101:Q101" si="32">SUM(L6:L99)</f>
        <v>88.628145708448997</v>
      </c>
      <c r="M101" s="48">
        <f t="shared" si="32"/>
        <v>305.26018629126958</v>
      </c>
      <c r="N101" s="48">
        <f t="shared" si="32"/>
        <v>160.27893124650896</v>
      </c>
      <c r="O101">
        <f t="shared" si="32"/>
        <v>0.7</v>
      </c>
      <c r="P101">
        <f t="shared" si="32"/>
        <v>0</v>
      </c>
      <c r="Q101">
        <f t="shared" si="32"/>
        <v>0</v>
      </c>
      <c r="AF101">
        <f>SUM(AF6:AF99)</f>
        <v>305.26018629126946</v>
      </c>
      <c r="AG101">
        <f>SUM(AG6:AG99)</f>
        <v>183.22544554913117</v>
      </c>
      <c r="AH101">
        <f>SUM(AH6:AH99)</f>
        <v>10881.102138662309</v>
      </c>
    </row>
    <row r="102" spans="1:34" x14ac:dyDescent="0.25">
      <c r="B102" s="8"/>
      <c r="C102" s="47"/>
      <c r="D102" s="8">
        <f>42.078</f>
        <v>42.078000000000003</v>
      </c>
      <c r="F102" s="8"/>
      <c r="G102" s="109">
        <f>(C101-D102)/C101</f>
        <v>1.6886323869007557E-16</v>
      </c>
      <c r="H102" s="8"/>
      <c r="I102" s="8"/>
      <c r="J102" s="8"/>
      <c r="K102" s="8" t="s">
        <v>8</v>
      </c>
      <c r="L102" s="49">
        <f>L101+O101</f>
        <v>89.328145708449</v>
      </c>
      <c r="M102" s="49">
        <f>M101+P101</f>
        <v>305.26018629126958</v>
      </c>
      <c r="N102" s="49"/>
      <c r="AD102" s="8" t="s">
        <v>202</v>
      </c>
      <c r="AE102">
        <f>SUM(AE6:AE99)</f>
        <v>1793.3902677159701</v>
      </c>
    </row>
    <row r="103" spans="1:34" x14ac:dyDescent="0.25">
      <c r="AD103" s="8" t="s">
        <v>197</v>
      </c>
      <c r="AE103">
        <f>IF(L102&lt;&gt;0,AE102/L102,0)</f>
        <v>20.076430037731594</v>
      </c>
    </row>
    <row r="105" spans="1:34" x14ac:dyDescent="0.25">
      <c r="E105" t="s">
        <v>126</v>
      </c>
      <c r="F105" t="s">
        <v>239</v>
      </c>
    </row>
    <row r="106" spans="1:34" x14ac:dyDescent="0.25">
      <c r="A106" t="s">
        <v>7</v>
      </c>
      <c r="D106" s="6">
        <f>SUM(C6:C7)</f>
        <v>1.256</v>
      </c>
      <c r="E106">
        <f>'Rotor model (SI)'!F105* CONVERT(1,"mm","in")</f>
        <v>0</v>
      </c>
    </row>
    <row r="107" spans="1:34" x14ac:dyDescent="0.25">
      <c r="A107" t="s">
        <v>9</v>
      </c>
      <c r="D107" s="6">
        <f>SUM(C9:C44)</f>
        <v>35.905999999999999</v>
      </c>
      <c r="E107">
        <f>36.1417</f>
        <v>36.1417</v>
      </c>
      <c r="G107" s="110">
        <f>(D107-E107)/E107</f>
        <v>-6.5215526663106984E-3</v>
      </c>
    </row>
    <row r="108" spans="1:34" x14ac:dyDescent="0.25">
      <c r="A108" t="s">
        <v>10</v>
      </c>
      <c r="D108" s="6">
        <f>SUM(C46:C48)</f>
        <v>1.5029999999999999</v>
      </c>
      <c r="E108">
        <f>'Rotor model (SI)'!F107* CONVERT(1,"mm","in")</f>
        <v>0</v>
      </c>
    </row>
    <row r="109" spans="1:34" x14ac:dyDescent="0.25">
      <c r="D109" s="19"/>
    </row>
    <row r="110" spans="1:34" x14ac:dyDescent="0.25">
      <c r="D110" s="19"/>
    </row>
    <row r="111" spans="1:34" x14ac:dyDescent="0.25">
      <c r="A111" s="50" t="s">
        <v>102</v>
      </c>
      <c r="D111" s="6">
        <f>C101</f>
        <v>42.07800000000001</v>
      </c>
      <c r="E111">
        <f>'Rotor model (SI)'!F110* CONVERT(1,"mm","in")</f>
        <v>0</v>
      </c>
    </row>
    <row r="113" spans="1:7" x14ac:dyDescent="0.25">
      <c r="A113" s="8" t="s">
        <v>103</v>
      </c>
      <c r="D113" s="5">
        <f>L102</f>
        <v>89.328145708449</v>
      </c>
      <c r="E113">
        <f>88.36</f>
        <v>88.36</v>
      </c>
      <c r="G113" s="110">
        <f>(E113-D113)/E113</f>
        <v>-1.0956832372668635E-2</v>
      </c>
    </row>
    <row r="114" spans="1:7" x14ac:dyDescent="0.25">
      <c r="A114" s="8" t="s">
        <v>203</v>
      </c>
      <c r="D114" s="6">
        <f>AE103</f>
        <v>20.076430037731594</v>
      </c>
      <c r="E114">
        <v>20.02</v>
      </c>
      <c r="G114" s="110">
        <f>(E114-D114)/E114</f>
        <v>-2.8186832033763485E-3</v>
      </c>
    </row>
    <row r="116" spans="1:7" x14ac:dyDescent="0.25">
      <c r="A116" s="8" t="s">
        <v>204</v>
      </c>
      <c r="D116" s="5">
        <f>D113-D117</f>
        <v>42.506051442695139</v>
      </c>
    </row>
    <row r="117" spans="1:7" x14ac:dyDescent="0.25">
      <c r="A117" s="8" t="s">
        <v>205</v>
      </c>
      <c r="D117">
        <f>(D114-D106)*D113/D107</f>
        <v>46.822094265753861</v>
      </c>
    </row>
  </sheetData>
  <mergeCells count="1">
    <mergeCell ref="Y3:AA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97"/>
  <sheetViews>
    <sheetView workbookViewId="0">
      <selection activeCell="M3" sqref="M3"/>
    </sheetView>
  </sheetViews>
  <sheetFormatPr defaultRowHeight="13.2" x14ac:dyDescent="0.25"/>
  <cols>
    <col min="2" max="2" width="22.6640625" bestFit="1" customWidth="1"/>
    <col min="10" max="10" width="16.33203125" customWidth="1"/>
    <col min="14" max="16" width="14.6640625" customWidth="1"/>
    <col min="17" max="17" width="14.33203125" customWidth="1"/>
    <col min="19" max="19" width="16.6640625" customWidth="1"/>
    <col min="20" max="20" width="18.6640625" customWidth="1"/>
    <col min="21" max="21" width="13.5546875" bestFit="1" customWidth="1"/>
    <col min="22" max="22" width="17.6640625" bestFit="1" customWidth="1"/>
    <col min="23" max="23" width="24.44140625" bestFit="1" customWidth="1"/>
    <col min="24" max="24" width="20.5546875" customWidth="1"/>
  </cols>
  <sheetData>
    <row r="1" spans="1:24" x14ac:dyDescent="0.25">
      <c r="A1" s="8" t="s">
        <v>111</v>
      </c>
      <c r="C1">
        <v>1</v>
      </c>
      <c r="D1">
        <v>2</v>
      </c>
      <c r="E1">
        <v>3</v>
      </c>
      <c r="F1">
        <v>4</v>
      </c>
      <c r="G1">
        <v>5</v>
      </c>
      <c r="H1">
        <v>6</v>
      </c>
      <c r="I1">
        <v>7</v>
      </c>
      <c r="J1">
        <v>8</v>
      </c>
    </row>
    <row r="2" spans="1:24" x14ac:dyDescent="0.25">
      <c r="A2">
        <v>1</v>
      </c>
      <c r="B2">
        <v>2</v>
      </c>
      <c r="C2">
        <v>3</v>
      </c>
      <c r="D2">
        <v>4</v>
      </c>
      <c r="E2">
        <v>5</v>
      </c>
      <c r="F2">
        <v>6</v>
      </c>
      <c r="G2">
        <v>7</v>
      </c>
      <c r="H2">
        <v>8</v>
      </c>
      <c r="I2">
        <v>9</v>
      </c>
      <c r="J2">
        <v>10</v>
      </c>
      <c r="K2">
        <v>11</v>
      </c>
      <c r="L2">
        <v>12</v>
      </c>
      <c r="M2">
        <v>13</v>
      </c>
      <c r="N2">
        <v>14</v>
      </c>
      <c r="O2">
        <v>15</v>
      </c>
      <c r="P2">
        <v>16</v>
      </c>
      <c r="Q2">
        <v>17</v>
      </c>
      <c r="R2">
        <v>18</v>
      </c>
      <c r="S2">
        <v>19</v>
      </c>
      <c r="T2">
        <v>20</v>
      </c>
      <c r="U2">
        <v>21</v>
      </c>
      <c r="V2">
        <v>22</v>
      </c>
      <c r="W2">
        <v>23</v>
      </c>
      <c r="X2">
        <v>24</v>
      </c>
    </row>
    <row r="3" spans="1:24" ht="13.8" x14ac:dyDescent="0.3">
      <c r="A3" s="2" t="s">
        <v>96</v>
      </c>
      <c r="B3" s="2" t="s">
        <v>95</v>
      </c>
      <c r="C3" s="2" t="s">
        <v>89</v>
      </c>
      <c r="D3" s="2" t="s">
        <v>47</v>
      </c>
      <c r="E3" s="2" t="s">
        <v>118</v>
      </c>
      <c r="F3" s="2" t="s">
        <v>148</v>
      </c>
      <c r="G3" s="93" t="s">
        <v>222</v>
      </c>
      <c r="H3" s="2" t="s">
        <v>106</v>
      </c>
      <c r="I3" s="52" t="s">
        <v>107</v>
      </c>
      <c r="J3" s="2" t="s">
        <v>3</v>
      </c>
      <c r="K3" s="2" t="s">
        <v>101</v>
      </c>
      <c r="L3" s="2" t="s">
        <v>51</v>
      </c>
      <c r="M3" s="2" t="s">
        <v>90</v>
      </c>
      <c r="N3" s="2" t="s">
        <v>135</v>
      </c>
      <c r="O3" s="2" t="s">
        <v>138</v>
      </c>
      <c r="P3" s="2" t="s">
        <v>139</v>
      </c>
      <c r="Q3" s="2" t="s">
        <v>104</v>
      </c>
      <c r="R3" s="2" t="s">
        <v>105</v>
      </c>
      <c r="S3" s="93" t="s">
        <v>221</v>
      </c>
      <c r="T3" s="93" t="s">
        <v>220</v>
      </c>
      <c r="U3" s="93" t="s">
        <v>225</v>
      </c>
      <c r="V3" s="93" t="s">
        <v>226</v>
      </c>
      <c r="W3" s="93" t="s">
        <v>227</v>
      </c>
      <c r="X3" s="93" t="s">
        <v>236</v>
      </c>
    </row>
    <row r="4" spans="1:24" x14ac:dyDescent="0.25">
      <c r="A4">
        <f>'Rotor Model (SAE)'!A6</f>
        <v>1</v>
      </c>
      <c r="B4" t="str">
        <f>IF('Rotor Model (SAE)'!B6&lt;&gt;"",'Rotor Model (SAE)'!B6,"")</f>
        <v/>
      </c>
      <c r="C4">
        <f>'Rotor Model (SAE)'!C6</f>
        <v>0.53400000000000003</v>
      </c>
      <c r="D4">
        <f>'Rotor Model (SAE)'!D6</f>
        <v>2.145</v>
      </c>
      <c r="E4">
        <f>'Rotor Model (SAE)'!E6</f>
        <v>2.145</v>
      </c>
      <c r="F4">
        <f>'Rotor Model (SAE)'!F6</f>
        <v>0</v>
      </c>
      <c r="G4">
        <f>'Rotor Model (SAE)'!G6</f>
        <v>0</v>
      </c>
      <c r="H4">
        <f>'Rotor Model (SAE)'!I6</f>
        <v>30000000</v>
      </c>
      <c r="I4">
        <f>'Rotor Model (SAE)'!J6</f>
        <v>0.3</v>
      </c>
      <c r="J4">
        <f>'Rotor Model (SAE)'!H6</f>
        <v>0.28299999999999997</v>
      </c>
      <c r="K4">
        <f>'Rotor Model (SAE)'!O6</f>
        <v>0</v>
      </c>
      <c r="L4">
        <f>'Rotor Model (SAE)'!P6</f>
        <v>0</v>
      </c>
      <c r="M4">
        <f>'Rotor Model (SAE)'!Q6</f>
        <v>0</v>
      </c>
      <c r="N4">
        <f>'Rotor Model (SAE)'!R6</f>
        <v>0</v>
      </c>
      <c r="O4">
        <f>'Rotor Model (SAE)'!S6</f>
        <v>0</v>
      </c>
      <c r="P4">
        <f>'Rotor Model (SAE)'!T6</f>
        <v>0</v>
      </c>
      <c r="Q4">
        <f>'Rotor Model (SAE)'!U6</f>
        <v>0</v>
      </c>
      <c r="R4">
        <f>'Rotor Model (SAE)'!V6</f>
        <v>0</v>
      </c>
      <c r="S4">
        <f>'Rotor Model (SAE)'!W6</f>
        <v>0</v>
      </c>
      <c r="T4">
        <f>'Rotor Model (SAE)'!X6</f>
        <v>0</v>
      </c>
      <c r="U4">
        <f>'Rotor Model (SAE)'!Y6</f>
        <v>0</v>
      </c>
      <c r="V4">
        <f>'Rotor Model (SAE)'!Z6</f>
        <v>0</v>
      </c>
      <c r="W4">
        <f>'Rotor Model (SAE)'!AA6</f>
        <v>0</v>
      </c>
      <c r="X4">
        <f>'Rotor Model (SAE)'!AB6</f>
        <v>0</v>
      </c>
    </row>
    <row r="5" spans="1:24" x14ac:dyDescent="0.25">
      <c r="A5">
        <f>'Rotor Model (SAE)'!A7</f>
        <v>2</v>
      </c>
      <c r="B5" t="str">
        <f>IF('Rotor Model (SAE)'!B7&lt;&gt;"",'Rotor Model (SAE)'!B7,"")</f>
        <v/>
      </c>
      <c r="C5">
        <f>'Rotor Model (SAE)'!C7</f>
        <v>0.72199999999999998</v>
      </c>
      <c r="D5">
        <f>'Rotor Model (SAE)'!D7</f>
        <v>2.145</v>
      </c>
      <c r="E5">
        <f>'Rotor Model (SAE)'!E7</f>
        <v>2.145</v>
      </c>
      <c r="F5">
        <f>'Rotor Model (SAE)'!F7</f>
        <v>0</v>
      </c>
      <c r="G5">
        <f>'Rotor Model (SAE)'!G7</f>
        <v>0</v>
      </c>
      <c r="H5">
        <f>'Rotor Model (SAE)'!I7</f>
        <v>30000000</v>
      </c>
      <c r="I5">
        <f>'Rotor Model (SAE)'!J7</f>
        <v>0.3</v>
      </c>
      <c r="J5">
        <f>'Rotor Model (SAE)'!H7</f>
        <v>0.28299999999999997</v>
      </c>
      <c r="K5">
        <f>'Rotor Model (SAE)'!O7</f>
        <v>0</v>
      </c>
      <c r="L5">
        <f>'Rotor Model (SAE)'!P7</f>
        <v>0</v>
      </c>
      <c r="M5">
        <f>'Rotor Model (SAE)'!Q7</f>
        <v>0</v>
      </c>
      <c r="N5">
        <f>'Rotor Model (SAE)'!R7</f>
        <v>0</v>
      </c>
      <c r="O5">
        <f>'Rotor Model (SAE)'!S7</f>
        <v>0</v>
      </c>
      <c r="P5">
        <f>'Rotor Model (SAE)'!T7</f>
        <v>0</v>
      </c>
      <c r="Q5">
        <f>'Rotor Model (SAE)'!U7</f>
        <v>0</v>
      </c>
      <c r="R5">
        <f>'Rotor Model (SAE)'!V7</f>
        <v>0</v>
      </c>
      <c r="S5">
        <f>'Rotor Model (SAE)'!W7</f>
        <v>0</v>
      </c>
      <c r="T5">
        <f>'Rotor Model (SAE)'!X7</f>
        <v>0</v>
      </c>
      <c r="U5">
        <f>'Rotor Model (SAE)'!Y7</f>
        <v>0</v>
      </c>
      <c r="V5">
        <f>'Rotor Model (SAE)'!Z7</f>
        <v>0</v>
      </c>
      <c r="W5">
        <f>'Rotor Model (SAE)'!AA7</f>
        <v>0</v>
      </c>
      <c r="X5">
        <f>'Rotor Model (SAE)'!AB7</f>
        <v>0</v>
      </c>
    </row>
    <row r="6" spans="1:24" x14ac:dyDescent="0.25">
      <c r="A6">
        <f>'Rotor Model (SAE)'!A8</f>
        <v>3</v>
      </c>
      <c r="B6" t="str">
        <f>IF('Rotor Model (SAE)'!B8&lt;&gt;"",'Rotor Model (SAE)'!B8,"")</f>
        <v/>
      </c>
      <c r="C6">
        <f>'Rotor Model (SAE)'!C8</f>
        <v>1.1125</v>
      </c>
      <c r="D6">
        <f>'Rotor Model (SAE)'!D8</f>
        <v>2.2599999999999998</v>
      </c>
      <c r="E6">
        <f>'Rotor Model (SAE)'!E8</f>
        <v>3.5975196850393703</v>
      </c>
      <c r="F6">
        <f>'Rotor Model (SAE)'!F8</f>
        <v>0</v>
      </c>
      <c r="G6">
        <f>'Rotor Model (SAE)'!G8</f>
        <v>0</v>
      </c>
      <c r="H6">
        <f>'Rotor Model (SAE)'!I8</f>
        <v>30000000</v>
      </c>
      <c r="I6">
        <f>'Rotor Model (SAE)'!J8</f>
        <v>0.3</v>
      </c>
      <c r="J6">
        <f>'Rotor Model (SAE)'!H8</f>
        <v>0.28299999999999997</v>
      </c>
      <c r="K6">
        <f>'Rotor Model (SAE)'!O8</f>
        <v>0.12</v>
      </c>
      <c r="L6">
        <f>'Rotor Model (SAE)'!P8</f>
        <v>0</v>
      </c>
      <c r="M6">
        <f>'Rotor Model (SAE)'!Q8</f>
        <v>0</v>
      </c>
      <c r="N6">
        <f>'Rotor Model (SAE)'!R8</f>
        <v>0</v>
      </c>
      <c r="O6">
        <f>'Rotor Model (SAE)'!S8</f>
        <v>0</v>
      </c>
      <c r="P6">
        <f>'Rotor Model (SAE)'!T8</f>
        <v>0</v>
      </c>
      <c r="Q6">
        <f>'Rotor Model (SAE)'!U8</f>
        <v>0</v>
      </c>
      <c r="R6">
        <f>'Rotor Model (SAE)'!V8</f>
        <v>0</v>
      </c>
      <c r="S6">
        <f>'Rotor Model (SAE)'!W8</f>
        <v>0</v>
      </c>
      <c r="T6">
        <f>'Rotor Model (SAE)'!X8</f>
        <v>0</v>
      </c>
      <c r="U6">
        <f>'Rotor Model (SAE)'!Y8</f>
        <v>0</v>
      </c>
      <c r="V6">
        <f>'Rotor Model (SAE)'!Z8</f>
        <v>0</v>
      </c>
      <c r="W6">
        <f>'Rotor Model (SAE)'!AA8</f>
        <v>0</v>
      </c>
      <c r="X6">
        <f>'Rotor Model (SAE)'!AB8</f>
        <v>0</v>
      </c>
    </row>
    <row r="7" spans="1:24" x14ac:dyDescent="0.25">
      <c r="A7">
        <f>'Rotor Model (SAE)'!A9</f>
        <v>4</v>
      </c>
      <c r="B7" t="str">
        <f>IF('Rotor Model (SAE)'!B9&lt;&gt;"",'Rotor Model (SAE)'!B9,"")</f>
        <v xml:space="preserve">NDE AMB </v>
      </c>
      <c r="C7">
        <f>'Rotor Model (SAE)'!C9</f>
        <v>1.1125</v>
      </c>
      <c r="D7">
        <f>'Rotor Model (SAE)'!D9</f>
        <v>2.2599999999999998</v>
      </c>
      <c r="E7">
        <f>'Rotor Model (SAE)'!E9</f>
        <v>3.5975196850393703</v>
      </c>
      <c r="F7">
        <f>'Rotor Model (SAE)'!F9</f>
        <v>0</v>
      </c>
      <c r="G7">
        <f>'Rotor Model (SAE)'!G9</f>
        <v>0</v>
      </c>
      <c r="H7">
        <f>'Rotor Model (SAE)'!I9</f>
        <v>30000000</v>
      </c>
      <c r="I7">
        <f>'Rotor Model (SAE)'!J9</f>
        <v>0.3</v>
      </c>
      <c r="J7">
        <f>'Rotor Model (SAE)'!H9</f>
        <v>0.28299999999999997</v>
      </c>
      <c r="K7">
        <f>'Rotor Model (SAE)'!O9</f>
        <v>0</v>
      </c>
      <c r="L7">
        <f>'Rotor Model (SAE)'!P9</f>
        <v>0</v>
      </c>
      <c r="M7">
        <f>'Rotor Model (SAE)'!Q9</f>
        <v>0</v>
      </c>
      <c r="N7">
        <f>'Rotor Model (SAE)'!R9</f>
        <v>0</v>
      </c>
      <c r="O7">
        <f>'Rotor Model (SAE)'!S9</f>
        <v>0</v>
      </c>
      <c r="P7">
        <f>'Rotor Model (SAE)'!T9</f>
        <v>0</v>
      </c>
      <c r="Q7">
        <f>'Rotor Model (SAE)'!U9</f>
        <v>0</v>
      </c>
      <c r="R7">
        <f>'Rotor Model (SAE)'!V9</f>
        <v>0</v>
      </c>
      <c r="S7">
        <f>'Rotor Model (SAE)'!W9</f>
        <v>0</v>
      </c>
      <c r="T7">
        <f>'Rotor Model (SAE)'!X9</f>
        <v>0</v>
      </c>
      <c r="U7">
        <f>'Rotor Model (SAE)'!Y9</f>
        <v>0</v>
      </c>
      <c r="V7">
        <f>'Rotor Model (SAE)'!Z9</f>
        <v>0</v>
      </c>
      <c r="W7">
        <f>'Rotor Model (SAE)'!AA9</f>
        <v>0</v>
      </c>
      <c r="X7">
        <f>'Rotor Model (SAE)'!AB9</f>
        <v>0</v>
      </c>
    </row>
    <row r="8" spans="1:24" x14ac:dyDescent="0.25">
      <c r="A8">
        <f>'Rotor Model (SAE)'!A10</f>
        <v>5</v>
      </c>
      <c r="B8" t="str">
        <f>IF('Rotor Model (SAE)'!B10&lt;&gt;"",'Rotor Model (SAE)'!B10,"")</f>
        <v/>
      </c>
      <c r="C8">
        <f>'Rotor Model (SAE)'!C10</f>
        <v>0.625</v>
      </c>
      <c r="D8">
        <f>'Rotor Model (SAE)'!D10</f>
        <v>2.2599999999999998</v>
      </c>
      <c r="E8">
        <f>'Rotor Model (SAE)'!E10</f>
        <v>2.2599999999999998</v>
      </c>
      <c r="F8">
        <f>'Rotor Model (SAE)'!F10</f>
        <v>0</v>
      </c>
      <c r="G8">
        <f>'Rotor Model (SAE)'!G10</f>
        <v>0</v>
      </c>
      <c r="H8">
        <f>'Rotor Model (SAE)'!I10</f>
        <v>30000000</v>
      </c>
      <c r="I8">
        <f>'Rotor Model (SAE)'!J10</f>
        <v>0.3</v>
      </c>
      <c r="J8">
        <f>'Rotor Model (SAE)'!H10</f>
        <v>0.28299999999999997</v>
      </c>
      <c r="K8">
        <f>'Rotor Model (SAE)'!O10</f>
        <v>0</v>
      </c>
      <c r="L8">
        <f>'Rotor Model (SAE)'!P10</f>
        <v>0</v>
      </c>
      <c r="M8">
        <f>'Rotor Model (SAE)'!Q10</f>
        <v>0</v>
      </c>
      <c r="N8">
        <f>'Rotor Model (SAE)'!R10</f>
        <v>0</v>
      </c>
      <c r="O8">
        <f>'Rotor Model (SAE)'!S10</f>
        <v>0</v>
      </c>
      <c r="P8">
        <f>'Rotor Model (SAE)'!T10</f>
        <v>0</v>
      </c>
      <c r="Q8">
        <f>'Rotor Model (SAE)'!U10</f>
        <v>0</v>
      </c>
      <c r="R8">
        <f>'Rotor Model (SAE)'!V10</f>
        <v>0</v>
      </c>
      <c r="S8">
        <f>'Rotor Model (SAE)'!W10</f>
        <v>0</v>
      </c>
      <c r="T8">
        <f>'Rotor Model (SAE)'!X10</f>
        <v>0</v>
      </c>
      <c r="U8">
        <f>'Rotor Model (SAE)'!Y10</f>
        <v>0</v>
      </c>
      <c r="V8">
        <f>'Rotor Model (SAE)'!Z10</f>
        <v>0</v>
      </c>
      <c r="W8">
        <f>'Rotor Model (SAE)'!AA10</f>
        <v>0</v>
      </c>
      <c r="X8">
        <f>'Rotor Model (SAE)'!AB10</f>
        <v>0</v>
      </c>
    </row>
    <row r="9" spans="1:24" x14ac:dyDescent="0.25">
      <c r="A9">
        <f>'Rotor Model (SAE)'!A11</f>
        <v>6</v>
      </c>
      <c r="B9" t="str">
        <f>IF('Rotor Model (SAE)'!B11&lt;&gt;"",'Rotor Model (SAE)'!B11,"")</f>
        <v>NDE Probe</v>
      </c>
      <c r="C9">
        <f>'Rotor Model (SAE)'!C11</f>
        <v>0.625</v>
      </c>
      <c r="D9">
        <f>'Rotor Model (SAE)'!D11</f>
        <v>2.2599999999999998</v>
      </c>
      <c r="E9">
        <f>'Rotor Model (SAE)'!E11</f>
        <v>2.2599999999999998</v>
      </c>
      <c r="F9">
        <f>'Rotor Model (SAE)'!F11</f>
        <v>0</v>
      </c>
      <c r="G9">
        <f>'Rotor Model (SAE)'!G11</f>
        <v>0</v>
      </c>
      <c r="H9">
        <f>'Rotor Model (SAE)'!I11</f>
        <v>30000000</v>
      </c>
      <c r="I9">
        <f>'Rotor Model (SAE)'!J11</f>
        <v>0.3</v>
      </c>
      <c r="J9">
        <f>'Rotor Model (SAE)'!H11</f>
        <v>0.28299999999999997</v>
      </c>
      <c r="K9">
        <f>'Rotor Model (SAE)'!O11</f>
        <v>0</v>
      </c>
      <c r="L9">
        <f>'Rotor Model (SAE)'!P11</f>
        <v>0</v>
      </c>
      <c r="M9">
        <f>'Rotor Model (SAE)'!Q11</f>
        <v>0</v>
      </c>
      <c r="N9">
        <f>'Rotor Model (SAE)'!R11</f>
        <v>0</v>
      </c>
      <c r="O9">
        <f>'Rotor Model (SAE)'!S11</f>
        <v>0</v>
      </c>
      <c r="P9">
        <f>'Rotor Model (SAE)'!T11</f>
        <v>0</v>
      </c>
      <c r="Q9">
        <f>'Rotor Model (SAE)'!U11</f>
        <v>0</v>
      </c>
      <c r="R9">
        <f>'Rotor Model (SAE)'!V11</f>
        <v>0</v>
      </c>
      <c r="S9">
        <f>'Rotor Model (SAE)'!W11</f>
        <v>0</v>
      </c>
      <c r="T9">
        <f>'Rotor Model (SAE)'!X11</f>
        <v>0</v>
      </c>
      <c r="U9">
        <f>'Rotor Model (SAE)'!Y11</f>
        <v>0</v>
      </c>
      <c r="V9">
        <f>'Rotor Model (SAE)'!Z11</f>
        <v>0</v>
      </c>
      <c r="W9">
        <f>'Rotor Model (SAE)'!AA11</f>
        <v>0</v>
      </c>
      <c r="X9">
        <f>'Rotor Model (SAE)'!AB11</f>
        <v>0</v>
      </c>
    </row>
    <row r="10" spans="1:24" x14ac:dyDescent="0.25">
      <c r="A10">
        <f>'Rotor Model (SAE)'!A12</f>
        <v>7</v>
      </c>
      <c r="B10" t="str">
        <f>IF('Rotor Model (SAE)'!B12&lt;&gt;"",'Rotor Model (SAE)'!B12,"")</f>
        <v/>
      </c>
      <c r="C10">
        <f>'Rotor Model (SAE)'!C12</f>
        <v>1.5</v>
      </c>
      <c r="D10">
        <f>'Rotor Model (SAE)'!D12</f>
        <v>2.2599999999999998</v>
      </c>
      <c r="E10">
        <f>'Rotor Model (SAE)'!E12</f>
        <v>2.2599999999999998</v>
      </c>
      <c r="F10">
        <f>'Rotor Model (SAE)'!F12</f>
        <v>0</v>
      </c>
      <c r="G10">
        <f>'Rotor Model (SAE)'!G12</f>
        <v>0</v>
      </c>
      <c r="H10">
        <f>'Rotor Model (SAE)'!I12</f>
        <v>30000000</v>
      </c>
      <c r="I10">
        <f>'Rotor Model (SAE)'!J12</f>
        <v>0.3</v>
      </c>
      <c r="J10">
        <f>'Rotor Model (SAE)'!H12</f>
        <v>0.28299999999999997</v>
      </c>
      <c r="K10">
        <f>'Rotor Model (SAE)'!O12</f>
        <v>0</v>
      </c>
      <c r="L10">
        <f>'Rotor Model (SAE)'!P12</f>
        <v>0</v>
      </c>
      <c r="M10">
        <f>'Rotor Model (SAE)'!Q12</f>
        <v>0</v>
      </c>
      <c r="N10">
        <f>'Rotor Model (SAE)'!R12</f>
        <v>0</v>
      </c>
      <c r="O10">
        <f>'Rotor Model (SAE)'!S12</f>
        <v>0</v>
      </c>
      <c r="P10">
        <f>'Rotor Model (SAE)'!T12</f>
        <v>0</v>
      </c>
      <c r="Q10">
        <f>'Rotor Model (SAE)'!U12</f>
        <v>0</v>
      </c>
      <c r="R10">
        <f>'Rotor Model (SAE)'!V12</f>
        <v>0</v>
      </c>
      <c r="S10">
        <f>'Rotor Model (SAE)'!W12</f>
        <v>0</v>
      </c>
      <c r="T10">
        <f>'Rotor Model (SAE)'!X12</f>
        <v>0</v>
      </c>
      <c r="U10">
        <f>'Rotor Model (SAE)'!Y12</f>
        <v>0</v>
      </c>
      <c r="V10">
        <f>'Rotor Model (SAE)'!Z12</f>
        <v>0</v>
      </c>
      <c r="W10">
        <f>'Rotor Model (SAE)'!AA12</f>
        <v>0</v>
      </c>
      <c r="X10">
        <f>'Rotor Model (SAE)'!AB12</f>
        <v>0</v>
      </c>
    </row>
    <row r="11" spans="1:24" x14ac:dyDescent="0.25">
      <c r="A11">
        <f>'Rotor Model (SAE)'!A13</f>
        <v>8</v>
      </c>
      <c r="B11" t="str">
        <f>IF('Rotor Model (SAE)'!B13&lt;&gt;"",'Rotor Model (SAE)'!B13,"")</f>
        <v/>
      </c>
      <c r="C11">
        <f>'Rotor Model (SAE)'!C13</f>
        <v>1.5</v>
      </c>
      <c r="D11">
        <f>'Rotor Model (SAE)'!D13</f>
        <v>2.0499999999999998</v>
      </c>
      <c r="E11">
        <f>'Rotor Model (SAE)'!E13</f>
        <v>2.2599999999999998</v>
      </c>
      <c r="F11">
        <f>'Rotor Model (SAE)'!F13</f>
        <v>0</v>
      </c>
      <c r="G11">
        <f>'Rotor Model (SAE)'!G13</f>
        <v>0</v>
      </c>
      <c r="H11">
        <f>'Rotor Model (SAE)'!I13</f>
        <v>30000000</v>
      </c>
      <c r="I11">
        <f>'Rotor Model (SAE)'!J13</f>
        <v>0.3</v>
      </c>
      <c r="J11">
        <f>'Rotor Model (SAE)'!H13</f>
        <v>0.28299999999999997</v>
      </c>
      <c r="K11">
        <f>'Rotor Model (SAE)'!O13</f>
        <v>0</v>
      </c>
      <c r="L11">
        <f>'Rotor Model (SAE)'!P13</f>
        <v>0</v>
      </c>
      <c r="M11">
        <f>'Rotor Model (SAE)'!Q13</f>
        <v>0</v>
      </c>
      <c r="N11">
        <f>'Rotor Model (SAE)'!R13</f>
        <v>0</v>
      </c>
      <c r="O11">
        <f>'Rotor Model (SAE)'!S13</f>
        <v>0</v>
      </c>
      <c r="P11">
        <f>'Rotor Model (SAE)'!T13</f>
        <v>0</v>
      </c>
      <c r="Q11">
        <f>'Rotor Model (SAE)'!U13</f>
        <v>0</v>
      </c>
      <c r="R11">
        <f>'Rotor Model (SAE)'!V13</f>
        <v>0</v>
      </c>
      <c r="S11">
        <f>'Rotor Model (SAE)'!W13</f>
        <v>0</v>
      </c>
      <c r="T11">
        <f>'Rotor Model (SAE)'!X13</f>
        <v>0</v>
      </c>
      <c r="U11">
        <f>'Rotor Model (SAE)'!Y13</f>
        <v>0</v>
      </c>
      <c r="V11">
        <f>'Rotor Model (SAE)'!Z13</f>
        <v>0</v>
      </c>
      <c r="W11">
        <f>'Rotor Model (SAE)'!AA13</f>
        <v>0</v>
      </c>
      <c r="X11">
        <f>'Rotor Model (SAE)'!AB13</f>
        <v>0</v>
      </c>
    </row>
    <row r="12" spans="1:24" x14ac:dyDescent="0.25">
      <c r="A12">
        <f>'Rotor Model (SAE)'!A14</f>
        <v>9</v>
      </c>
      <c r="B12" t="str">
        <f>IF('Rotor Model (SAE)'!B14&lt;&gt;"",'Rotor Model (SAE)'!B14,"")</f>
        <v/>
      </c>
      <c r="C12">
        <f>'Rotor Model (SAE)'!C14</f>
        <v>1.25</v>
      </c>
      <c r="D12">
        <f>'Rotor Model (SAE)'!D14</f>
        <v>2.0499999999999998</v>
      </c>
      <c r="E12">
        <f>'Rotor Model (SAE)'!E14</f>
        <v>2.2599999999999998</v>
      </c>
      <c r="F12">
        <f>'Rotor Model (SAE)'!F14</f>
        <v>0</v>
      </c>
      <c r="G12">
        <f>'Rotor Model (SAE)'!G14</f>
        <v>0</v>
      </c>
      <c r="H12">
        <f>'Rotor Model (SAE)'!I14</f>
        <v>30000000</v>
      </c>
      <c r="I12">
        <f>'Rotor Model (SAE)'!J14</f>
        <v>0.3</v>
      </c>
      <c r="J12">
        <f>'Rotor Model (SAE)'!H14</f>
        <v>0.28299999999999997</v>
      </c>
      <c r="K12">
        <f>'Rotor Model (SAE)'!O14</f>
        <v>0</v>
      </c>
      <c r="L12">
        <f>'Rotor Model (SAE)'!P14</f>
        <v>0</v>
      </c>
      <c r="M12">
        <f>'Rotor Model (SAE)'!Q14</f>
        <v>0</v>
      </c>
      <c r="N12">
        <f>'Rotor Model (SAE)'!R14</f>
        <v>0</v>
      </c>
      <c r="O12">
        <f>'Rotor Model (SAE)'!S14</f>
        <v>0</v>
      </c>
      <c r="P12">
        <f>'Rotor Model (SAE)'!T14</f>
        <v>0</v>
      </c>
      <c r="Q12">
        <f>'Rotor Model (SAE)'!U14</f>
        <v>0</v>
      </c>
      <c r="R12">
        <f>'Rotor Model (SAE)'!V14</f>
        <v>0</v>
      </c>
      <c r="S12">
        <f>'Rotor Model (SAE)'!W14</f>
        <v>0</v>
      </c>
      <c r="T12">
        <f>'Rotor Model (SAE)'!X14</f>
        <v>0</v>
      </c>
      <c r="U12">
        <f>'Rotor Model (SAE)'!Y14</f>
        <v>0</v>
      </c>
      <c r="V12">
        <f>'Rotor Model (SAE)'!Z14</f>
        <v>0</v>
      </c>
      <c r="W12">
        <f>'Rotor Model (SAE)'!AA14</f>
        <v>0</v>
      </c>
      <c r="X12">
        <f>'Rotor Model (SAE)'!AB14</f>
        <v>0</v>
      </c>
    </row>
    <row r="13" spans="1:24" x14ac:dyDescent="0.25">
      <c r="A13">
        <f>'Rotor Model (SAE)'!A15</f>
        <v>10</v>
      </c>
      <c r="B13" t="str">
        <f>IF('Rotor Model (SAE)'!B15&lt;&gt;"",'Rotor Model (SAE)'!B15,"")</f>
        <v/>
      </c>
      <c r="C13">
        <f>'Rotor Model (SAE)'!C15</f>
        <v>0.75</v>
      </c>
      <c r="D13">
        <f>'Rotor Model (SAE)'!D15</f>
        <v>2.2599999999999998</v>
      </c>
      <c r="E13">
        <f>'Rotor Model (SAE)'!E15</f>
        <v>2.2599999999999998</v>
      </c>
      <c r="F13">
        <f>'Rotor Model (SAE)'!F15</f>
        <v>0</v>
      </c>
      <c r="G13">
        <f>'Rotor Model (SAE)'!G15</f>
        <v>0</v>
      </c>
      <c r="H13">
        <f>'Rotor Model (SAE)'!I15</f>
        <v>30000000</v>
      </c>
      <c r="I13">
        <f>'Rotor Model (SAE)'!J15</f>
        <v>0.3</v>
      </c>
      <c r="J13">
        <f>'Rotor Model (SAE)'!H15</f>
        <v>0.28299999999999997</v>
      </c>
      <c r="K13">
        <f>'Rotor Model (SAE)'!O15</f>
        <v>0</v>
      </c>
      <c r="L13">
        <f>'Rotor Model (SAE)'!P15</f>
        <v>0</v>
      </c>
      <c r="M13">
        <f>'Rotor Model (SAE)'!Q15</f>
        <v>0</v>
      </c>
      <c r="N13">
        <f>'Rotor Model (SAE)'!R15</f>
        <v>0</v>
      </c>
      <c r="O13">
        <f>'Rotor Model (SAE)'!S15</f>
        <v>0</v>
      </c>
      <c r="P13">
        <f>'Rotor Model (SAE)'!T15</f>
        <v>0</v>
      </c>
      <c r="Q13">
        <f>'Rotor Model (SAE)'!U15</f>
        <v>0</v>
      </c>
      <c r="R13">
        <f>'Rotor Model (SAE)'!V15</f>
        <v>0</v>
      </c>
      <c r="S13">
        <f>'Rotor Model (SAE)'!W15</f>
        <v>0</v>
      </c>
      <c r="T13">
        <f>'Rotor Model (SAE)'!X15</f>
        <v>0</v>
      </c>
      <c r="U13">
        <f>'Rotor Model (SAE)'!Y15</f>
        <v>0</v>
      </c>
      <c r="V13">
        <f>'Rotor Model (SAE)'!Z15</f>
        <v>0</v>
      </c>
      <c r="W13">
        <f>'Rotor Model (SAE)'!AA15</f>
        <v>0</v>
      </c>
      <c r="X13">
        <f>'Rotor Model (SAE)'!AB15</f>
        <v>0</v>
      </c>
    </row>
    <row r="14" spans="1:24" x14ac:dyDescent="0.25">
      <c r="A14">
        <f>'Rotor Model (SAE)'!A16</f>
        <v>11</v>
      </c>
      <c r="B14" t="str">
        <f>IF('Rotor Model (SAE)'!B16&lt;&gt;"",'Rotor Model (SAE)'!B16,"")</f>
        <v/>
      </c>
      <c r="C14">
        <f>'Rotor Model (SAE)'!C16</f>
        <v>1.75</v>
      </c>
      <c r="D14">
        <f>'Rotor Model (SAE)'!D16</f>
        <v>2.34</v>
      </c>
      <c r="E14">
        <f>'Rotor Model (SAE)'!E16</f>
        <v>2.34</v>
      </c>
      <c r="F14">
        <f>'Rotor Model (SAE)'!F16</f>
        <v>0</v>
      </c>
      <c r="G14">
        <f>'Rotor Model (SAE)'!G16</f>
        <v>0</v>
      </c>
      <c r="H14">
        <f>'Rotor Model (SAE)'!I16</f>
        <v>30000000</v>
      </c>
      <c r="I14">
        <f>'Rotor Model (SAE)'!J16</f>
        <v>0.3</v>
      </c>
      <c r="J14">
        <f>'Rotor Model (SAE)'!H16</f>
        <v>0.28299999999999997</v>
      </c>
      <c r="K14">
        <f>'Rotor Model (SAE)'!O16</f>
        <v>0</v>
      </c>
      <c r="L14">
        <f>'Rotor Model (SAE)'!P16</f>
        <v>0</v>
      </c>
      <c r="M14">
        <f>'Rotor Model (SAE)'!Q16</f>
        <v>0</v>
      </c>
      <c r="N14">
        <f>'Rotor Model (SAE)'!R16</f>
        <v>0</v>
      </c>
      <c r="O14">
        <f>'Rotor Model (SAE)'!S16</f>
        <v>0</v>
      </c>
      <c r="P14">
        <f>'Rotor Model (SAE)'!T16</f>
        <v>0</v>
      </c>
      <c r="Q14">
        <f>'Rotor Model (SAE)'!U16</f>
        <v>0</v>
      </c>
      <c r="R14">
        <f>'Rotor Model (SAE)'!V16</f>
        <v>0</v>
      </c>
      <c r="S14">
        <f>'Rotor Model (SAE)'!W16</f>
        <v>0</v>
      </c>
      <c r="T14">
        <f>'Rotor Model (SAE)'!X16</f>
        <v>0</v>
      </c>
      <c r="U14">
        <f>'Rotor Model (SAE)'!Y16</f>
        <v>0</v>
      </c>
      <c r="V14">
        <f>'Rotor Model (SAE)'!Z16</f>
        <v>0</v>
      </c>
      <c r="W14">
        <f>'Rotor Model (SAE)'!AA16</f>
        <v>0</v>
      </c>
      <c r="X14">
        <f>'Rotor Model (SAE)'!AB16</f>
        <v>0</v>
      </c>
    </row>
    <row r="15" spans="1:24" x14ac:dyDescent="0.25">
      <c r="A15">
        <f>'Rotor Model (SAE)'!A17</f>
        <v>12</v>
      </c>
      <c r="B15" t="str">
        <f>IF('Rotor Model (SAE)'!B17&lt;&gt;"",'Rotor Model (SAE)'!B17,"")</f>
        <v/>
      </c>
      <c r="C15">
        <f>'Rotor Model (SAE)'!C17</f>
        <v>1.75</v>
      </c>
      <c r="D15">
        <f>'Rotor Model (SAE)'!D17</f>
        <v>2.34</v>
      </c>
      <c r="E15">
        <f>'Rotor Model (SAE)'!E17</f>
        <v>2.34</v>
      </c>
      <c r="F15">
        <f>'Rotor Model (SAE)'!F17</f>
        <v>0</v>
      </c>
      <c r="G15">
        <f>'Rotor Model (SAE)'!G17</f>
        <v>0</v>
      </c>
      <c r="H15">
        <f>'Rotor Model (SAE)'!I17</f>
        <v>30000000</v>
      </c>
      <c r="I15">
        <f>'Rotor Model (SAE)'!J17</f>
        <v>0.3</v>
      </c>
      <c r="J15">
        <f>'Rotor Model (SAE)'!H17</f>
        <v>0.28299999999999997</v>
      </c>
      <c r="K15">
        <f>'Rotor Model (SAE)'!O17</f>
        <v>0</v>
      </c>
      <c r="L15">
        <f>'Rotor Model (SAE)'!P17</f>
        <v>0</v>
      </c>
      <c r="M15">
        <f>'Rotor Model (SAE)'!Q17</f>
        <v>0</v>
      </c>
      <c r="N15">
        <f>'Rotor Model (SAE)'!R17</f>
        <v>0</v>
      </c>
      <c r="O15">
        <f>'Rotor Model (SAE)'!S17</f>
        <v>0</v>
      </c>
      <c r="P15">
        <f>'Rotor Model (SAE)'!T17</f>
        <v>0</v>
      </c>
      <c r="Q15">
        <f>'Rotor Model (SAE)'!U17</f>
        <v>0</v>
      </c>
      <c r="R15">
        <f>'Rotor Model (SAE)'!V17</f>
        <v>0</v>
      </c>
      <c r="S15">
        <f>'Rotor Model (SAE)'!W17</f>
        <v>0</v>
      </c>
      <c r="T15">
        <f>'Rotor Model (SAE)'!X17</f>
        <v>0</v>
      </c>
      <c r="U15">
        <f>'Rotor Model (SAE)'!Y17</f>
        <v>0</v>
      </c>
      <c r="V15">
        <f>'Rotor Model (SAE)'!Z17</f>
        <v>0</v>
      </c>
      <c r="W15">
        <f>'Rotor Model (SAE)'!AA17</f>
        <v>0</v>
      </c>
      <c r="X15">
        <f>'Rotor Model (SAE)'!AB17</f>
        <v>0</v>
      </c>
    </row>
    <row r="16" spans="1:24" x14ac:dyDescent="0.25">
      <c r="A16">
        <f>'Rotor Model (SAE)'!A18</f>
        <v>13</v>
      </c>
      <c r="B16" t="str">
        <f>IF('Rotor Model (SAE)'!B18&lt;&gt;"",'Rotor Model (SAE)'!B18,"")</f>
        <v/>
      </c>
      <c r="C16">
        <f>'Rotor Model (SAE)'!C18</f>
        <v>0.1</v>
      </c>
      <c r="D16">
        <f>'Rotor Model (SAE)'!D18</f>
        <v>2.34</v>
      </c>
      <c r="E16">
        <f>'Rotor Model (SAE)'!E18</f>
        <v>2.34</v>
      </c>
      <c r="F16">
        <f>'Rotor Model (SAE)'!F18</f>
        <v>0</v>
      </c>
      <c r="G16">
        <f>'Rotor Model (SAE)'!G18</f>
        <v>0</v>
      </c>
      <c r="H16">
        <f>'Rotor Model (SAE)'!I18</f>
        <v>30000000</v>
      </c>
      <c r="I16">
        <f>'Rotor Model (SAE)'!J18</f>
        <v>0.3</v>
      </c>
      <c r="J16">
        <f>'Rotor Model (SAE)'!H18</f>
        <v>0.28299999999999997</v>
      </c>
      <c r="K16">
        <f>'Rotor Model (SAE)'!O18</f>
        <v>0</v>
      </c>
      <c r="L16">
        <f>'Rotor Model (SAE)'!P18</f>
        <v>0</v>
      </c>
      <c r="M16">
        <f>'Rotor Model (SAE)'!Q18</f>
        <v>0</v>
      </c>
      <c r="N16">
        <f>'Rotor Model (SAE)'!R18</f>
        <v>0</v>
      </c>
      <c r="O16">
        <f>'Rotor Model (SAE)'!S18</f>
        <v>0</v>
      </c>
      <c r="P16">
        <f>'Rotor Model (SAE)'!T18</f>
        <v>0</v>
      </c>
      <c r="Q16">
        <f>'Rotor Model (SAE)'!U18</f>
        <v>0</v>
      </c>
      <c r="R16">
        <f>'Rotor Model (SAE)'!V18</f>
        <v>0</v>
      </c>
      <c r="S16">
        <f>'Rotor Model (SAE)'!W18</f>
        <v>0</v>
      </c>
      <c r="T16">
        <f>'Rotor Model (SAE)'!X18</f>
        <v>0</v>
      </c>
      <c r="U16">
        <f>'Rotor Model (SAE)'!Y18</f>
        <v>0</v>
      </c>
      <c r="V16">
        <f>'Rotor Model (SAE)'!Z18</f>
        <v>0</v>
      </c>
      <c r="W16">
        <f>'Rotor Model (SAE)'!AA18</f>
        <v>0</v>
      </c>
      <c r="X16">
        <f>'Rotor Model (SAE)'!AB18</f>
        <v>0</v>
      </c>
    </row>
    <row r="17" spans="1:24" x14ac:dyDescent="0.25">
      <c r="A17">
        <f>'Rotor Model (SAE)'!A19</f>
        <v>14</v>
      </c>
      <c r="B17" t="str">
        <f>IF('Rotor Model (SAE)'!B19&lt;&gt;"",'Rotor Model (SAE)'!B19,"")</f>
        <v/>
      </c>
      <c r="C17">
        <f>'Rotor Model (SAE)'!C19</f>
        <v>0.5</v>
      </c>
      <c r="D17">
        <f>'Rotor Model (SAE)'!D19</f>
        <v>2.9</v>
      </c>
      <c r="E17">
        <f>'Rotor Model (SAE)'!E19</f>
        <v>9.5</v>
      </c>
      <c r="F17">
        <f>'Rotor Model (SAE)'!F19</f>
        <v>0</v>
      </c>
      <c r="G17">
        <f>'Rotor Model (SAE)'!G19</f>
        <v>0</v>
      </c>
      <c r="H17">
        <f>'Rotor Model (SAE)'!I19</f>
        <v>30000000</v>
      </c>
      <c r="I17">
        <f>'Rotor Model (SAE)'!J19</f>
        <v>0.3</v>
      </c>
      <c r="J17">
        <f>'Rotor Model (SAE)'!H19</f>
        <v>0.28299999999999997</v>
      </c>
      <c r="K17">
        <f>'Rotor Model (SAE)'!O19</f>
        <v>0</v>
      </c>
      <c r="L17">
        <f>'Rotor Model (SAE)'!P19</f>
        <v>0</v>
      </c>
      <c r="M17">
        <f>'Rotor Model (SAE)'!Q19</f>
        <v>0</v>
      </c>
      <c r="N17">
        <f>'Rotor Model (SAE)'!R19</f>
        <v>0</v>
      </c>
      <c r="O17">
        <f>'Rotor Model (SAE)'!S19</f>
        <v>0</v>
      </c>
      <c r="P17">
        <f>'Rotor Model (SAE)'!T19</f>
        <v>0</v>
      </c>
      <c r="Q17">
        <f>'Rotor Model (SAE)'!U19</f>
        <v>0</v>
      </c>
      <c r="R17">
        <f>'Rotor Model (SAE)'!V19</f>
        <v>0</v>
      </c>
      <c r="S17">
        <f>'Rotor Model (SAE)'!W19</f>
        <v>0</v>
      </c>
      <c r="T17">
        <f>'Rotor Model (SAE)'!X19</f>
        <v>0</v>
      </c>
      <c r="U17">
        <f>'Rotor Model (SAE)'!Y19</f>
        <v>0</v>
      </c>
      <c r="V17">
        <f>'Rotor Model (SAE)'!Z19</f>
        <v>0</v>
      </c>
      <c r="W17">
        <f>'Rotor Model (SAE)'!AA19</f>
        <v>0</v>
      </c>
      <c r="X17">
        <f>'Rotor Model (SAE)'!AB19</f>
        <v>0</v>
      </c>
    </row>
    <row r="18" spans="1:24" x14ac:dyDescent="0.25">
      <c r="A18">
        <f>'Rotor Model (SAE)'!A20</f>
        <v>15</v>
      </c>
      <c r="B18" t="str">
        <f>IF('Rotor Model (SAE)'!B20&lt;&gt;"",'Rotor Model (SAE)'!B20,"")</f>
        <v xml:space="preserve">disk C </v>
      </c>
      <c r="C18">
        <f>'Rotor Model (SAE)'!C20</f>
        <v>0.5</v>
      </c>
      <c r="D18">
        <f>'Rotor Model (SAE)'!D20</f>
        <v>2.9</v>
      </c>
      <c r="E18">
        <f>'Rotor Model (SAE)'!E20</f>
        <v>9.5</v>
      </c>
      <c r="F18">
        <f>'Rotor Model (SAE)'!F20</f>
        <v>0</v>
      </c>
      <c r="G18">
        <f>'Rotor Model (SAE)'!G20</f>
        <v>0</v>
      </c>
      <c r="H18">
        <f>'Rotor Model (SAE)'!I20</f>
        <v>30000000</v>
      </c>
      <c r="I18">
        <f>'Rotor Model (SAE)'!J20</f>
        <v>0.3</v>
      </c>
      <c r="J18">
        <f>'Rotor Model (SAE)'!H20</f>
        <v>0.28299999999999997</v>
      </c>
      <c r="K18">
        <f>'Rotor Model (SAE)'!O20</f>
        <v>0</v>
      </c>
      <c r="L18">
        <f>'Rotor Model (SAE)'!P20</f>
        <v>0</v>
      </c>
      <c r="M18">
        <f>'Rotor Model (SAE)'!Q20</f>
        <v>0</v>
      </c>
      <c r="N18">
        <f>'Rotor Model (SAE)'!R20</f>
        <v>0</v>
      </c>
      <c r="O18">
        <f>'Rotor Model (SAE)'!S20</f>
        <v>0</v>
      </c>
      <c r="P18">
        <f>'Rotor Model (SAE)'!T20</f>
        <v>0</v>
      </c>
      <c r="Q18">
        <f>'Rotor Model (SAE)'!U20</f>
        <v>0</v>
      </c>
      <c r="R18">
        <f>'Rotor Model (SAE)'!V20</f>
        <v>0</v>
      </c>
      <c r="S18">
        <f>'Rotor Model (SAE)'!W20</f>
        <v>0</v>
      </c>
      <c r="T18">
        <f>'Rotor Model (SAE)'!X20</f>
        <v>0</v>
      </c>
      <c r="U18">
        <f>'Rotor Model (SAE)'!Y20</f>
        <v>0</v>
      </c>
      <c r="V18">
        <f>'Rotor Model (SAE)'!Z20</f>
        <v>0</v>
      </c>
      <c r="W18">
        <f>'Rotor Model (SAE)'!AA20</f>
        <v>0</v>
      </c>
      <c r="X18">
        <f>'Rotor Model (SAE)'!AB20</f>
        <v>0</v>
      </c>
    </row>
    <row r="19" spans="1:24" x14ac:dyDescent="0.25">
      <c r="A19">
        <f>'Rotor Model (SAE)'!A21</f>
        <v>16</v>
      </c>
      <c r="B19" t="str">
        <f>IF('Rotor Model (SAE)'!B21&lt;&gt;"",'Rotor Model (SAE)'!B21,"")</f>
        <v/>
      </c>
      <c r="C19">
        <f>'Rotor Model (SAE)'!C21</f>
        <v>1.155</v>
      </c>
      <c r="D19">
        <f>'Rotor Model (SAE)'!D21</f>
        <v>2.42</v>
      </c>
      <c r="E19">
        <f>'Rotor Model (SAE)'!E21</f>
        <v>2.42</v>
      </c>
      <c r="F19">
        <f>'Rotor Model (SAE)'!F21</f>
        <v>0</v>
      </c>
      <c r="G19">
        <f>'Rotor Model (SAE)'!G21</f>
        <v>0</v>
      </c>
      <c r="H19">
        <f>'Rotor Model (SAE)'!I21</f>
        <v>30000000</v>
      </c>
      <c r="I19">
        <f>'Rotor Model (SAE)'!J21</f>
        <v>0.3</v>
      </c>
      <c r="J19">
        <f>'Rotor Model (SAE)'!H21</f>
        <v>0.28299999999999997</v>
      </c>
      <c r="K19">
        <f>'Rotor Model (SAE)'!O21</f>
        <v>0</v>
      </c>
      <c r="L19">
        <f>'Rotor Model (SAE)'!P21</f>
        <v>0</v>
      </c>
      <c r="M19">
        <f>'Rotor Model (SAE)'!Q21</f>
        <v>0</v>
      </c>
      <c r="N19">
        <f>'Rotor Model (SAE)'!R21</f>
        <v>0</v>
      </c>
      <c r="O19">
        <f>'Rotor Model (SAE)'!S21</f>
        <v>0</v>
      </c>
      <c r="P19">
        <f>'Rotor Model (SAE)'!T21</f>
        <v>0</v>
      </c>
      <c r="Q19">
        <f>'Rotor Model (SAE)'!U21</f>
        <v>0</v>
      </c>
      <c r="R19">
        <f>'Rotor Model (SAE)'!V21</f>
        <v>0</v>
      </c>
      <c r="S19">
        <f>'Rotor Model (SAE)'!W21</f>
        <v>0</v>
      </c>
      <c r="T19">
        <f>'Rotor Model (SAE)'!X21</f>
        <v>0</v>
      </c>
      <c r="U19">
        <f>'Rotor Model (SAE)'!Y21</f>
        <v>0</v>
      </c>
      <c r="V19">
        <f>'Rotor Model (SAE)'!Z21</f>
        <v>0</v>
      </c>
      <c r="W19">
        <f>'Rotor Model (SAE)'!AA21</f>
        <v>0</v>
      </c>
      <c r="X19">
        <f>'Rotor Model (SAE)'!AB21</f>
        <v>0</v>
      </c>
    </row>
    <row r="20" spans="1:24" x14ac:dyDescent="0.25">
      <c r="A20">
        <f>'Rotor Model (SAE)'!A22</f>
        <v>17</v>
      </c>
      <c r="B20" t="str">
        <f>IF('Rotor Model (SAE)'!B22&lt;&gt;"",'Rotor Model (SAE)'!B22,"")</f>
        <v/>
      </c>
      <c r="C20">
        <f>'Rotor Model (SAE)'!C22</f>
        <v>1.155</v>
      </c>
      <c r="D20">
        <f>'Rotor Model (SAE)'!D22</f>
        <v>2.42</v>
      </c>
      <c r="E20">
        <f>'Rotor Model (SAE)'!E22</f>
        <v>2.42</v>
      </c>
      <c r="F20">
        <f>'Rotor Model (SAE)'!F22</f>
        <v>0</v>
      </c>
      <c r="G20">
        <f>'Rotor Model (SAE)'!G22</f>
        <v>0</v>
      </c>
      <c r="H20">
        <f>'Rotor Model (SAE)'!I22</f>
        <v>30000000</v>
      </c>
      <c r="I20">
        <f>'Rotor Model (SAE)'!J22</f>
        <v>0.3</v>
      </c>
      <c r="J20">
        <f>'Rotor Model (SAE)'!H22</f>
        <v>0.28299999999999997</v>
      </c>
      <c r="K20">
        <f>'Rotor Model (SAE)'!O22</f>
        <v>0</v>
      </c>
      <c r="L20">
        <f>'Rotor Model (SAE)'!P22</f>
        <v>0</v>
      </c>
      <c r="M20">
        <f>'Rotor Model (SAE)'!Q22</f>
        <v>0</v>
      </c>
      <c r="N20">
        <f>'Rotor Model (SAE)'!R22</f>
        <v>0</v>
      </c>
      <c r="O20">
        <f>'Rotor Model (SAE)'!S22</f>
        <v>0</v>
      </c>
      <c r="P20">
        <f>'Rotor Model (SAE)'!T22</f>
        <v>0</v>
      </c>
      <c r="Q20">
        <f>'Rotor Model (SAE)'!U22</f>
        <v>0</v>
      </c>
      <c r="R20">
        <f>'Rotor Model (SAE)'!V22</f>
        <v>0</v>
      </c>
      <c r="S20">
        <f>'Rotor Model (SAE)'!W22</f>
        <v>0</v>
      </c>
      <c r="T20">
        <f>'Rotor Model (SAE)'!X22</f>
        <v>0</v>
      </c>
      <c r="U20">
        <f>'Rotor Model (SAE)'!Y22</f>
        <v>0</v>
      </c>
      <c r="V20">
        <f>'Rotor Model (SAE)'!Z22</f>
        <v>0</v>
      </c>
      <c r="W20">
        <f>'Rotor Model (SAE)'!AA22</f>
        <v>0</v>
      </c>
      <c r="X20">
        <f>'Rotor Model (SAE)'!AB22</f>
        <v>0</v>
      </c>
    </row>
    <row r="21" spans="1:24" x14ac:dyDescent="0.25">
      <c r="A21">
        <f>'Rotor Model (SAE)'!A23</f>
        <v>18</v>
      </c>
      <c r="B21" t="str">
        <f>IF('Rotor Model (SAE)'!B23&lt;&gt;"",'Rotor Model (SAE)'!B23,"")</f>
        <v/>
      </c>
      <c r="C21">
        <f>'Rotor Model (SAE)'!C23</f>
        <v>1.155</v>
      </c>
      <c r="D21">
        <f>'Rotor Model (SAE)'!D23</f>
        <v>2.42</v>
      </c>
      <c r="E21">
        <f>'Rotor Model (SAE)'!E23</f>
        <v>2.42</v>
      </c>
      <c r="F21">
        <f>'Rotor Model (SAE)'!F23</f>
        <v>0</v>
      </c>
      <c r="G21">
        <f>'Rotor Model (SAE)'!G23</f>
        <v>0</v>
      </c>
      <c r="H21">
        <f>'Rotor Model (SAE)'!I23</f>
        <v>30000000</v>
      </c>
      <c r="I21">
        <f>'Rotor Model (SAE)'!J23</f>
        <v>0.3</v>
      </c>
      <c r="J21">
        <f>'Rotor Model (SAE)'!H23</f>
        <v>0.28299999999999997</v>
      </c>
      <c r="K21">
        <f>'Rotor Model (SAE)'!O23</f>
        <v>0</v>
      </c>
      <c r="L21">
        <f>'Rotor Model (SAE)'!P23</f>
        <v>0</v>
      </c>
      <c r="M21">
        <f>'Rotor Model (SAE)'!Q23</f>
        <v>0</v>
      </c>
      <c r="N21">
        <f>'Rotor Model (SAE)'!R23</f>
        <v>0</v>
      </c>
      <c r="O21">
        <f>'Rotor Model (SAE)'!S23</f>
        <v>0</v>
      </c>
      <c r="P21">
        <f>'Rotor Model (SAE)'!T23</f>
        <v>0</v>
      </c>
      <c r="Q21">
        <f>'Rotor Model (SAE)'!U23</f>
        <v>0</v>
      </c>
      <c r="R21">
        <f>'Rotor Model (SAE)'!V23</f>
        <v>0</v>
      </c>
      <c r="S21">
        <f>'Rotor Model (SAE)'!W23</f>
        <v>0</v>
      </c>
      <c r="T21">
        <f>'Rotor Model (SAE)'!X23</f>
        <v>0</v>
      </c>
      <c r="U21">
        <f>'Rotor Model (SAE)'!Y23</f>
        <v>0</v>
      </c>
      <c r="V21">
        <f>'Rotor Model (SAE)'!Z23</f>
        <v>0</v>
      </c>
      <c r="W21">
        <f>'Rotor Model (SAE)'!AA23</f>
        <v>0</v>
      </c>
      <c r="X21">
        <f>'Rotor Model (SAE)'!AB23</f>
        <v>0</v>
      </c>
    </row>
    <row r="22" spans="1:24" x14ac:dyDescent="0.25">
      <c r="A22">
        <f>'Rotor Model (SAE)'!A24</f>
        <v>19</v>
      </c>
      <c r="B22" t="str">
        <f>IF('Rotor Model (SAE)'!B24&lt;&gt;"",'Rotor Model (SAE)'!B24,"")</f>
        <v/>
      </c>
      <c r="C22">
        <f>'Rotor Model (SAE)'!C24</f>
        <v>1.155</v>
      </c>
      <c r="D22">
        <f>'Rotor Model (SAE)'!D24</f>
        <v>2.42</v>
      </c>
      <c r="E22">
        <f>'Rotor Model (SAE)'!E24</f>
        <v>2.42</v>
      </c>
      <c r="F22">
        <f>'Rotor Model (SAE)'!F24</f>
        <v>0</v>
      </c>
      <c r="G22">
        <f>'Rotor Model (SAE)'!G24</f>
        <v>0</v>
      </c>
      <c r="H22">
        <f>'Rotor Model (SAE)'!I24</f>
        <v>30000000</v>
      </c>
      <c r="I22">
        <f>'Rotor Model (SAE)'!J24</f>
        <v>0.3</v>
      </c>
      <c r="J22">
        <f>'Rotor Model (SAE)'!H24</f>
        <v>0.28299999999999997</v>
      </c>
      <c r="K22">
        <f>'Rotor Model (SAE)'!O24</f>
        <v>0</v>
      </c>
      <c r="L22">
        <f>'Rotor Model (SAE)'!P24</f>
        <v>0</v>
      </c>
      <c r="M22">
        <f>'Rotor Model (SAE)'!Q24</f>
        <v>0</v>
      </c>
      <c r="N22">
        <f>'Rotor Model (SAE)'!R24</f>
        <v>0</v>
      </c>
      <c r="O22">
        <f>'Rotor Model (SAE)'!S24</f>
        <v>0</v>
      </c>
      <c r="P22">
        <f>'Rotor Model (SAE)'!T24</f>
        <v>0</v>
      </c>
      <c r="Q22">
        <f>'Rotor Model (SAE)'!U24</f>
        <v>0</v>
      </c>
      <c r="R22">
        <f>'Rotor Model (SAE)'!V24</f>
        <v>0</v>
      </c>
      <c r="S22">
        <f>'Rotor Model (SAE)'!W24</f>
        <v>0</v>
      </c>
      <c r="T22">
        <f>'Rotor Model (SAE)'!X24</f>
        <v>0</v>
      </c>
      <c r="U22">
        <f>'Rotor Model (SAE)'!Y24</f>
        <v>0</v>
      </c>
      <c r="V22">
        <f>'Rotor Model (SAE)'!Z24</f>
        <v>0</v>
      </c>
      <c r="W22">
        <f>'Rotor Model (SAE)'!AA24</f>
        <v>0</v>
      </c>
      <c r="X22">
        <f>'Rotor Model (SAE)'!AB24</f>
        <v>0</v>
      </c>
    </row>
    <row r="23" spans="1:24" x14ac:dyDescent="0.25">
      <c r="A23">
        <f>'Rotor Model (SAE)'!A25</f>
        <v>20</v>
      </c>
      <c r="B23" t="str">
        <f>IF('Rotor Model (SAE)'!B25&lt;&gt;"",'Rotor Model (SAE)'!B25,"")</f>
        <v/>
      </c>
      <c r="C23">
        <f>'Rotor Model (SAE)'!C25</f>
        <v>0.38600000000000001</v>
      </c>
      <c r="D23">
        <f>'Rotor Model (SAE)'!D25</f>
        <v>2.42</v>
      </c>
      <c r="E23">
        <f>'Rotor Model (SAE)'!E25</f>
        <v>2.42</v>
      </c>
      <c r="F23">
        <f>'Rotor Model (SAE)'!F25</f>
        <v>0</v>
      </c>
      <c r="G23">
        <f>'Rotor Model (SAE)'!G25</f>
        <v>0</v>
      </c>
      <c r="H23">
        <f>'Rotor Model (SAE)'!I25</f>
        <v>30000000</v>
      </c>
      <c r="I23">
        <f>'Rotor Model (SAE)'!J25</f>
        <v>0.3</v>
      </c>
      <c r="J23">
        <f>'Rotor Model (SAE)'!H25</f>
        <v>0.28299999999999997</v>
      </c>
      <c r="K23">
        <f>'Rotor Model (SAE)'!O25</f>
        <v>0</v>
      </c>
      <c r="L23">
        <f>'Rotor Model (SAE)'!P25</f>
        <v>0</v>
      </c>
      <c r="M23">
        <f>'Rotor Model (SAE)'!Q25</f>
        <v>0</v>
      </c>
      <c r="N23">
        <f>'Rotor Model (SAE)'!R25</f>
        <v>0</v>
      </c>
      <c r="O23">
        <f>'Rotor Model (SAE)'!S25</f>
        <v>0</v>
      </c>
      <c r="P23">
        <f>'Rotor Model (SAE)'!T25</f>
        <v>0</v>
      </c>
      <c r="Q23">
        <f>'Rotor Model (SAE)'!U25</f>
        <v>0</v>
      </c>
      <c r="R23">
        <f>'Rotor Model (SAE)'!V25</f>
        <v>0</v>
      </c>
      <c r="S23">
        <f>'Rotor Model (SAE)'!W25</f>
        <v>0</v>
      </c>
      <c r="T23">
        <f>'Rotor Model (SAE)'!X25</f>
        <v>0</v>
      </c>
      <c r="U23">
        <f>'Rotor Model (SAE)'!Y25</f>
        <v>0</v>
      </c>
      <c r="V23">
        <f>'Rotor Model (SAE)'!Z25</f>
        <v>0</v>
      </c>
      <c r="W23">
        <f>'Rotor Model (SAE)'!AA25</f>
        <v>0</v>
      </c>
      <c r="X23">
        <f>'Rotor Model (SAE)'!AB25</f>
        <v>0</v>
      </c>
    </row>
    <row r="24" spans="1:24" x14ac:dyDescent="0.25">
      <c r="A24">
        <f>'Rotor Model (SAE)'!A26</f>
        <v>21</v>
      </c>
      <c r="B24" t="str">
        <f>IF('Rotor Model (SAE)'!B26&lt;&gt;"",'Rotor Model (SAE)'!B26,"")</f>
        <v/>
      </c>
      <c r="C24">
        <f>'Rotor Model (SAE)'!C26</f>
        <v>0.86250000000000004</v>
      </c>
      <c r="D24">
        <f>'Rotor Model (SAE)'!D26</f>
        <v>2.56</v>
      </c>
      <c r="E24">
        <f>'Rotor Model (SAE)'!E26</f>
        <v>3.5932677165354332</v>
      </c>
      <c r="F24">
        <f>'Rotor Model (SAE)'!F26</f>
        <v>0</v>
      </c>
      <c r="G24">
        <f>'Rotor Model (SAE)'!G26</f>
        <v>0</v>
      </c>
      <c r="H24">
        <f>'Rotor Model (SAE)'!I26</f>
        <v>30000000</v>
      </c>
      <c r="I24">
        <f>'Rotor Model (SAE)'!J26</f>
        <v>0.3</v>
      </c>
      <c r="J24">
        <f>'Rotor Model (SAE)'!H26</f>
        <v>0.28299999999999997</v>
      </c>
      <c r="K24">
        <f>'Rotor Model (SAE)'!O26</f>
        <v>0.1</v>
      </c>
      <c r="L24">
        <f>'Rotor Model (SAE)'!P26</f>
        <v>0</v>
      </c>
      <c r="M24">
        <f>'Rotor Model (SAE)'!Q26</f>
        <v>0</v>
      </c>
      <c r="N24">
        <f>'Rotor Model (SAE)'!R26</f>
        <v>0</v>
      </c>
      <c r="O24">
        <f>'Rotor Model (SAE)'!S26</f>
        <v>0</v>
      </c>
      <c r="P24">
        <f>'Rotor Model (SAE)'!T26</f>
        <v>0</v>
      </c>
      <c r="Q24">
        <f>'Rotor Model (SAE)'!U26</f>
        <v>0</v>
      </c>
      <c r="R24">
        <f>'Rotor Model (SAE)'!V26</f>
        <v>0</v>
      </c>
      <c r="S24">
        <f>'Rotor Model (SAE)'!W26</f>
        <v>0</v>
      </c>
      <c r="T24">
        <f>'Rotor Model (SAE)'!X26</f>
        <v>0</v>
      </c>
      <c r="U24">
        <f>'Rotor Model (SAE)'!Y26</f>
        <v>0</v>
      </c>
      <c r="V24">
        <f>'Rotor Model (SAE)'!Z26</f>
        <v>0</v>
      </c>
      <c r="W24">
        <f>'Rotor Model (SAE)'!AA26</f>
        <v>0</v>
      </c>
      <c r="X24">
        <f>'Rotor Model (SAE)'!AB26</f>
        <v>0</v>
      </c>
    </row>
    <row r="25" spans="1:24" x14ac:dyDescent="0.25">
      <c r="A25">
        <f>'Rotor Model (SAE)'!A27</f>
        <v>22</v>
      </c>
      <c r="B25" t="str">
        <f>IF('Rotor Model (SAE)'!B27&lt;&gt;"",'Rotor Model (SAE)'!B27,"")</f>
        <v>MID AMB</v>
      </c>
      <c r="C25">
        <f>'Rotor Model (SAE)'!C27</f>
        <v>0.86250000000000004</v>
      </c>
      <c r="D25">
        <f>'Rotor Model (SAE)'!D27</f>
        <v>2.56</v>
      </c>
      <c r="E25">
        <f>'Rotor Model (SAE)'!E27</f>
        <v>3.5932677165354332</v>
      </c>
      <c r="F25">
        <f>'Rotor Model (SAE)'!F27</f>
        <v>0</v>
      </c>
      <c r="G25">
        <f>'Rotor Model (SAE)'!G27</f>
        <v>0</v>
      </c>
      <c r="H25">
        <f>'Rotor Model (SAE)'!I27</f>
        <v>30000000</v>
      </c>
      <c r="I25">
        <f>'Rotor Model (SAE)'!J27</f>
        <v>0.3</v>
      </c>
      <c r="J25">
        <f>'Rotor Model (SAE)'!H27</f>
        <v>0.28299999999999997</v>
      </c>
      <c r="K25">
        <f>'Rotor Model (SAE)'!O27</f>
        <v>0</v>
      </c>
      <c r="L25">
        <f>'Rotor Model (SAE)'!P27</f>
        <v>0</v>
      </c>
      <c r="M25">
        <f>'Rotor Model (SAE)'!Q27</f>
        <v>0</v>
      </c>
      <c r="N25">
        <f>'Rotor Model (SAE)'!R27</f>
        <v>0</v>
      </c>
      <c r="O25">
        <f>'Rotor Model (SAE)'!S27</f>
        <v>0</v>
      </c>
      <c r="P25">
        <f>'Rotor Model (SAE)'!T27</f>
        <v>0</v>
      </c>
      <c r="Q25">
        <f>'Rotor Model (SAE)'!U27</f>
        <v>0</v>
      </c>
      <c r="R25">
        <f>'Rotor Model (SAE)'!V27</f>
        <v>0</v>
      </c>
      <c r="S25">
        <f>'Rotor Model (SAE)'!W27</f>
        <v>0</v>
      </c>
      <c r="T25">
        <f>'Rotor Model (SAE)'!X27</f>
        <v>0</v>
      </c>
      <c r="U25">
        <f>'Rotor Model (SAE)'!Y27</f>
        <v>0</v>
      </c>
      <c r="V25">
        <f>'Rotor Model (SAE)'!Z27</f>
        <v>0</v>
      </c>
      <c r="W25">
        <f>'Rotor Model (SAE)'!AA27</f>
        <v>0</v>
      </c>
      <c r="X25">
        <f>'Rotor Model (SAE)'!AB27</f>
        <v>0</v>
      </c>
    </row>
    <row r="26" spans="1:24" x14ac:dyDescent="0.25">
      <c r="A26">
        <f>'Rotor Model (SAE)'!A28</f>
        <v>23</v>
      </c>
      <c r="B26" t="str">
        <f>IF('Rotor Model (SAE)'!B28&lt;&gt;"",'Rotor Model (SAE)'!B28,"")</f>
        <v/>
      </c>
      <c r="C26">
        <f>'Rotor Model (SAE)'!C28</f>
        <v>1.25</v>
      </c>
      <c r="D26">
        <f>'Rotor Model (SAE)'!D28</f>
        <v>2.58</v>
      </c>
      <c r="E26">
        <f>'Rotor Model (SAE)'!E28</f>
        <v>2.58</v>
      </c>
      <c r="F26">
        <f>'Rotor Model (SAE)'!F28</f>
        <v>0</v>
      </c>
      <c r="G26">
        <f>'Rotor Model (SAE)'!G28</f>
        <v>0</v>
      </c>
      <c r="H26">
        <f>'Rotor Model (SAE)'!I28</f>
        <v>30000000</v>
      </c>
      <c r="I26">
        <f>'Rotor Model (SAE)'!J28</f>
        <v>0.3</v>
      </c>
      <c r="J26">
        <f>'Rotor Model (SAE)'!H28</f>
        <v>0.28299999999999997</v>
      </c>
      <c r="K26">
        <f>'Rotor Model (SAE)'!O28</f>
        <v>0</v>
      </c>
      <c r="L26">
        <f>'Rotor Model (SAE)'!P28</f>
        <v>0</v>
      </c>
      <c r="M26">
        <f>'Rotor Model (SAE)'!Q28</f>
        <v>0</v>
      </c>
      <c r="N26">
        <f>'Rotor Model (SAE)'!R28</f>
        <v>0</v>
      </c>
      <c r="O26">
        <f>'Rotor Model (SAE)'!S28</f>
        <v>0</v>
      </c>
      <c r="P26">
        <f>'Rotor Model (SAE)'!T28</f>
        <v>0</v>
      </c>
      <c r="Q26">
        <f>'Rotor Model (SAE)'!U28</f>
        <v>0</v>
      </c>
      <c r="R26">
        <f>'Rotor Model (SAE)'!V28</f>
        <v>0</v>
      </c>
      <c r="S26">
        <f>'Rotor Model (SAE)'!W28</f>
        <v>0</v>
      </c>
      <c r="T26">
        <f>'Rotor Model (SAE)'!X28</f>
        <v>0</v>
      </c>
      <c r="U26">
        <f>'Rotor Model (SAE)'!Y28</f>
        <v>0</v>
      </c>
      <c r="V26">
        <f>'Rotor Model (SAE)'!Z28</f>
        <v>0</v>
      </c>
      <c r="W26">
        <f>'Rotor Model (SAE)'!AA28</f>
        <v>0</v>
      </c>
      <c r="X26">
        <f>'Rotor Model (SAE)'!AB28</f>
        <v>0</v>
      </c>
    </row>
    <row r="27" spans="1:24" x14ac:dyDescent="0.25">
      <c r="A27">
        <f>'Rotor Model (SAE)'!A29</f>
        <v>24</v>
      </c>
      <c r="B27" t="str">
        <f>IF('Rotor Model (SAE)'!B29&lt;&gt;"",'Rotor Model (SAE)'!B29,"")</f>
        <v/>
      </c>
      <c r="C27">
        <f>'Rotor Model (SAE)'!C29</f>
        <v>1.25</v>
      </c>
      <c r="D27">
        <f>'Rotor Model (SAE)'!D29</f>
        <v>2.58</v>
      </c>
      <c r="E27">
        <f>'Rotor Model (SAE)'!E29</f>
        <v>2.58</v>
      </c>
      <c r="F27">
        <f>'Rotor Model (SAE)'!F29</f>
        <v>0</v>
      </c>
      <c r="G27">
        <f>'Rotor Model (SAE)'!G29</f>
        <v>0</v>
      </c>
      <c r="H27">
        <f>'Rotor Model (SAE)'!I29</f>
        <v>30000000</v>
      </c>
      <c r="I27">
        <f>'Rotor Model (SAE)'!J29</f>
        <v>0.3</v>
      </c>
      <c r="J27">
        <f>'Rotor Model (SAE)'!H29</f>
        <v>0.28299999999999997</v>
      </c>
      <c r="K27">
        <f>'Rotor Model (SAE)'!O29</f>
        <v>0</v>
      </c>
      <c r="L27">
        <f>'Rotor Model (SAE)'!P29</f>
        <v>0</v>
      </c>
      <c r="M27">
        <f>'Rotor Model (SAE)'!Q29</f>
        <v>0</v>
      </c>
      <c r="N27">
        <f>'Rotor Model (SAE)'!R29</f>
        <v>0</v>
      </c>
      <c r="O27">
        <f>'Rotor Model (SAE)'!S29</f>
        <v>0</v>
      </c>
      <c r="P27">
        <f>'Rotor Model (SAE)'!T29</f>
        <v>0</v>
      </c>
      <c r="Q27">
        <f>'Rotor Model (SAE)'!U29</f>
        <v>0</v>
      </c>
      <c r="R27">
        <f>'Rotor Model (SAE)'!V29</f>
        <v>0</v>
      </c>
      <c r="S27">
        <f>'Rotor Model (SAE)'!W29</f>
        <v>0</v>
      </c>
      <c r="T27">
        <f>'Rotor Model (SAE)'!X29</f>
        <v>0</v>
      </c>
      <c r="U27">
        <f>'Rotor Model (SAE)'!Y29</f>
        <v>0</v>
      </c>
      <c r="V27">
        <f>'Rotor Model (SAE)'!Z29</f>
        <v>0</v>
      </c>
      <c r="W27">
        <f>'Rotor Model (SAE)'!AA29</f>
        <v>0</v>
      </c>
      <c r="X27">
        <f>'Rotor Model (SAE)'!AB29</f>
        <v>0</v>
      </c>
    </row>
    <row r="28" spans="1:24" x14ac:dyDescent="0.25">
      <c r="A28">
        <f>'Rotor Model (SAE)'!A30</f>
        <v>25</v>
      </c>
      <c r="B28" t="str">
        <f>IF('Rotor Model (SAE)'!B30&lt;&gt;"",'Rotor Model (SAE)'!B30,"")</f>
        <v/>
      </c>
      <c r="C28">
        <f>'Rotor Model (SAE)'!C30</f>
        <v>1.25</v>
      </c>
      <c r="D28">
        <f>'Rotor Model (SAE)'!D30</f>
        <v>2.58</v>
      </c>
      <c r="E28">
        <f>'Rotor Model (SAE)'!E30</f>
        <v>2.58</v>
      </c>
      <c r="F28">
        <f>'Rotor Model (SAE)'!F30</f>
        <v>0</v>
      </c>
      <c r="G28">
        <f>'Rotor Model (SAE)'!G30</f>
        <v>0</v>
      </c>
      <c r="H28">
        <f>'Rotor Model (SAE)'!I30</f>
        <v>30000000</v>
      </c>
      <c r="I28">
        <f>'Rotor Model (SAE)'!J30</f>
        <v>0.3</v>
      </c>
      <c r="J28">
        <f>'Rotor Model (SAE)'!H30</f>
        <v>0.28299999999999997</v>
      </c>
      <c r="K28">
        <f>'Rotor Model (SAE)'!O30</f>
        <v>0</v>
      </c>
      <c r="L28">
        <f>'Rotor Model (SAE)'!P30</f>
        <v>0</v>
      </c>
      <c r="M28">
        <f>'Rotor Model (SAE)'!Q30</f>
        <v>0</v>
      </c>
      <c r="N28">
        <f>'Rotor Model (SAE)'!R30</f>
        <v>0</v>
      </c>
      <c r="O28">
        <f>'Rotor Model (SAE)'!S30</f>
        <v>0</v>
      </c>
      <c r="P28">
        <f>'Rotor Model (SAE)'!T30</f>
        <v>0</v>
      </c>
      <c r="Q28">
        <f>'Rotor Model (SAE)'!U30</f>
        <v>0</v>
      </c>
      <c r="R28">
        <f>'Rotor Model (SAE)'!V30</f>
        <v>0</v>
      </c>
      <c r="S28">
        <f>'Rotor Model (SAE)'!W30</f>
        <v>0</v>
      </c>
      <c r="T28">
        <f>'Rotor Model (SAE)'!X30</f>
        <v>0</v>
      </c>
      <c r="U28">
        <f>'Rotor Model (SAE)'!Y30</f>
        <v>0</v>
      </c>
      <c r="V28">
        <f>'Rotor Model (SAE)'!Z30</f>
        <v>0</v>
      </c>
      <c r="W28">
        <f>'Rotor Model (SAE)'!AA30</f>
        <v>0</v>
      </c>
      <c r="X28">
        <f>'Rotor Model (SAE)'!AB30</f>
        <v>0</v>
      </c>
    </row>
    <row r="29" spans="1:24" x14ac:dyDescent="0.25">
      <c r="A29">
        <f>'Rotor Model (SAE)'!A31</f>
        <v>26</v>
      </c>
      <c r="B29" t="str">
        <f>IF('Rotor Model (SAE)'!B31&lt;&gt;"",'Rotor Model (SAE)'!B31,"")</f>
        <v/>
      </c>
      <c r="C29">
        <f>'Rotor Model (SAE)'!C31</f>
        <v>1.25</v>
      </c>
      <c r="D29">
        <f>'Rotor Model (SAE)'!D31</f>
        <v>2.58</v>
      </c>
      <c r="E29">
        <f>'Rotor Model (SAE)'!E31</f>
        <v>2.58</v>
      </c>
      <c r="F29">
        <f>'Rotor Model (SAE)'!F31</f>
        <v>0</v>
      </c>
      <c r="G29">
        <f>'Rotor Model (SAE)'!G31</f>
        <v>0</v>
      </c>
      <c r="H29">
        <f>'Rotor Model (SAE)'!I31</f>
        <v>30000000</v>
      </c>
      <c r="I29">
        <f>'Rotor Model (SAE)'!J31</f>
        <v>0.3</v>
      </c>
      <c r="J29">
        <f>'Rotor Model (SAE)'!H31</f>
        <v>0.28299999999999997</v>
      </c>
      <c r="K29">
        <f>'Rotor Model (SAE)'!O31</f>
        <v>0</v>
      </c>
      <c r="L29">
        <f>'Rotor Model (SAE)'!P31</f>
        <v>0</v>
      </c>
      <c r="M29">
        <f>'Rotor Model (SAE)'!Q31</f>
        <v>0</v>
      </c>
      <c r="N29">
        <f>'Rotor Model (SAE)'!R31</f>
        <v>0</v>
      </c>
      <c r="O29">
        <f>'Rotor Model (SAE)'!S31</f>
        <v>0</v>
      </c>
      <c r="P29">
        <f>'Rotor Model (SAE)'!T31</f>
        <v>0</v>
      </c>
      <c r="Q29">
        <f>'Rotor Model (SAE)'!U31</f>
        <v>0</v>
      </c>
      <c r="R29">
        <f>'Rotor Model (SAE)'!V31</f>
        <v>0</v>
      </c>
      <c r="S29">
        <f>'Rotor Model (SAE)'!W31</f>
        <v>0</v>
      </c>
      <c r="T29">
        <f>'Rotor Model (SAE)'!X31</f>
        <v>0</v>
      </c>
      <c r="U29">
        <f>'Rotor Model (SAE)'!Y31</f>
        <v>0</v>
      </c>
      <c r="V29">
        <f>'Rotor Model (SAE)'!Z31</f>
        <v>0</v>
      </c>
      <c r="W29">
        <f>'Rotor Model (SAE)'!AA31</f>
        <v>0</v>
      </c>
      <c r="X29">
        <f>'Rotor Model (SAE)'!AB31</f>
        <v>0</v>
      </c>
    </row>
    <row r="30" spans="1:24" x14ac:dyDescent="0.25">
      <c r="A30">
        <f>'Rotor Model (SAE)'!A32</f>
        <v>27</v>
      </c>
      <c r="B30" t="str">
        <f>IF('Rotor Model (SAE)'!B32&lt;&gt;"",'Rotor Model (SAE)'!B32,"")</f>
        <v/>
      </c>
      <c r="C30">
        <f>'Rotor Model (SAE)'!C32</f>
        <v>1</v>
      </c>
      <c r="D30">
        <f>'Rotor Model (SAE)'!D32</f>
        <v>3.35</v>
      </c>
      <c r="E30">
        <f>'Rotor Model (SAE)'!E32</f>
        <v>3.5433070866141736</v>
      </c>
      <c r="F30">
        <f>'Rotor Model (SAE)'!F32</f>
        <v>0</v>
      </c>
      <c r="G30">
        <f>'Rotor Model (SAE)'!G32</f>
        <v>0</v>
      </c>
      <c r="H30">
        <f>'Rotor Model (SAE)'!I32</f>
        <v>30000000</v>
      </c>
      <c r="I30">
        <f>'Rotor Model (SAE)'!J32</f>
        <v>0.3</v>
      </c>
      <c r="J30">
        <f>'Rotor Model (SAE)'!H32</f>
        <v>0.28299999999999997</v>
      </c>
      <c r="K30">
        <f>'Rotor Model (SAE)'!O32</f>
        <v>0</v>
      </c>
      <c r="L30">
        <f>'Rotor Model (SAE)'!P32</f>
        <v>0</v>
      </c>
      <c r="M30">
        <f>'Rotor Model (SAE)'!Q32</f>
        <v>0</v>
      </c>
      <c r="N30">
        <f>'Rotor Model (SAE)'!R32</f>
        <v>0</v>
      </c>
      <c r="O30">
        <f>'Rotor Model (SAE)'!S32</f>
        <v>0</v>
      </c>
      <c r="P30">
        <f>'Rotor Model (SAE)'!T32</f>
        <v>0</v>
      </c>
      <c r="Q30">
        <f>'Rotor Model (SAE)'!U32</f>
        <v>0</v>
      </c>
      <c r="R30">
        <f>'Rotor Model (SAE)'!V32</f>
        <v>0</v>
      </c>
      <c r="S30">
        <f>'Rotor Model (SAE)'!W32</f>
        <v>0</v>
      </c>
      <c r="T30">
        <f>'Rotor Model (SAE)'!X32</f>
        <v>0</v>
      </c>
      <c r="U30">
        <f>'Rotor Model (SAE)'!Y32</f>
        <v>0</v>
      </c>
      <c r="V30">
        <f>'Rotor Model (SAE)'!Z32</f>
        <v>0</v>
      </c>
      <c r="W30">
        <f>'Rotor Model (SAE)'!AA32</f>
        <v>0</v>
      </c>
      <c r="X30">
        <f>'Rotor Model (SAE)'!AB32</f>
        <v>0</v>
      </c>
    </row>
    <row r="31" spans="1:24" x14ac:dyDescent="0.25">
      <c r="A31">
        <f>'Rotor Model (SAE)'!A33</f>
        <v>28</v>
      </c>
      <c r="B31" t="str">
        <f>IF('Rotor Model (SAE)'!B33&lt;&gt;"",'Rotor Model (SAE)'!B33,"")</f>
        <v/>
      </c>
      <c r="C31">
        <f>'Rotor Model (SAE)'!C33</f>
        <v>1</v>
      </c>
      <c r="D31">
        <f>'Rotor Model (SAE)'!D33</f>
        <v>3.4</v>
      </c>
      <c r="E31">
        <f>'Rotor Model (SAE)'!E33</f>
        <v>3.5433070866141736</v>
      </c>
      <c r="F31">
        <f>'Rotor Model (SAE)'!F33</f>
        <v>0</v>
      </c>
      <c r="G31">
        <f>'Rotor Model (SAE)'!G33</f>
        <v>0</v>
      </c>
      <c r="H31">
        <f>'Rotor Model (SAE)'!I33</f>
        <v>30000000</v>
      </c>
      <c r="I31">
        <f>'Rotor Model (SAE)'!J33</f>
        <v>0.3</v>
      </c>
      <c r="J31">
        <f>'Rotor Model (SAE)'!H33</f>
        <v>0.28299999999999997</v>
      </c>
      <c r="K31">
        <f>'Rotor Model (SAE)'!O33</f>
        <v>0</v>
      </c>
      <c r="L31">
        <f>'Rotor Model (SAE)'!P33</f>
        <v>0</v>
      </c>
      <c r="M31">
        <f>'Rotor Model (SAE)'!Q33</f>
        <v>0</v>
      </c>
      <c r="N31">
        <f>'Rotor Model (SAE)'!R33</f>
        <v>0</v>
      </c>
      <c r="O31">
        <f>'Rotor Model (SAE)'!S33</f>
        <v>0</v>
      </c>
      <c r="P31">
        <f>'Rotor Model (SAE)'!T33</f>
        <v>0</v>
      </c>
      <c r="Q31">
        <f>'Rotor Model (SAE)'!U33</f>
        <v>0</v>
      </c>
      <c r="R31">
        <f>'Rotor Model (SAE)'!V33</f>
        <v>0</v>
      </c>
      <c r="S31">
        <f>'Rotor Model (SAE)'!W33</f>
        <v>0</v>
      </c>
      <c r="T31">
        <f>'Rotor Model (SAE)'!X33</f>
        <v>0</v>
      </c>
      <c r="U31">
        <f>'Rotor Model (SAE)'!Y33</f>
        <v>0</v>
      </c>
      <c r="V31">
        <f>'Rotor Model (SAE)'!Z33</f>
        <v>0</v>
      </c>
      <c r="W31">
        <f>'Rotor Model (SAE)'!AA33</f>
        <v>0</v>
      </c>
      <c r="X31">
        <f>'Rotor Model (SAE)'!AB33</f>
        <v>0</v>
      </c>
    </row>
    <row r="32" spans="1:24" x14ac:dyDescent="0.25">
      <c r="A32">
        <f>'Rotor Model (SAE)'!A34</f>
        <v>29</v>
      </c>
      <c r="B32" t="str">
        <f>IF('Rotor Model (SAE)'!B34&lt;&gt;"",'Rotor Model (SAE)'!B34,"")</f>
        <v xml:space="preserve">disk E </v>
      </c>
      <c r="C32">
        <f>'Rotor Model (SAE)'!C34</f>
        <v>1</v>
      </c>
      <c r="D32">
        <f>'Rotor Model (SAE)'!D34</f>
        <v>3.4</v>
      </c>
      <c r="E32">
        <f>'Rotor Model (SAE)'!E34</f>
        <v>3.5433070866141736</v>
      </c>
      <c r="F32">
        <f>'Rotor Model (SAE)'!F34</f>
        <v>0</v>
      </c>
      <c r="G32">
        <f>'Rotor Model (SAE)'!G34</f>
        <v>0</v>
      </c>
      <c r="H32">
        <f>'Rotor Model (SAE)'!I34</f>
        <v>30000000</v>
      </c>
      <c r="I32">
        <f>'Rotor Model (SAE)'!J34</f>
        <v>0.3</v>
      </c>
      <c r="J32">
        <f>'Rotor Model (SAE)'!H34</f>
        <v>0.28299999999999997</v>
      </c>
      <c r="K32">
        <f>'Rotor Model (SAE)'!O34</f>
        <v>0</v>
      </c>
      <c r="L32">
        <f>'Rotor Model (SAE)'!P34</f>
        <v>0</v>
      </c>
      <c r="M32">
        <f>'Rotor Model (SAE)'!Q34</f>
        <v>0</v>
      </c>
      <c r="N32">
        <f>'Rotor Model (SAE)'!R34</f>
        <v>0</v>
      </c>
      <c r="O32">
        <f>'Rotor Model (SAE)'!S34</f>
        <v>0</v>
      </c>
      <c r="P32">
        <f>'Rotor Model (SAE)'!T34</f>
        <v>0</v>
      </c>
      <c r="Q32">
        <f>'Rotor Model (SAE)'!U34</f>
        <v>0</v>
      </c>
      <c r="R32">
        <f>'Rotor Model (SAE)'!V34</f>
        <v>0</v>
      </c>
      <c r="S32">
        <f>'Rotor Model (SAE)'!W34</f>
        <v>0</v>
      </c>
      <c r="T32">
        <f>'Rotor Model (SAE)'!X34</f>
        <v>0</v>
      </c>
      <c r="U32">
        <f>'Rotor Model (SAE)'!Y34</f>
        <v>0</v>
      </c>
      <c r="V32">
        <f>'Rotor Model (SAE)'!Z34</f>
        <v>0</v>
      </c>
      <c r="W32">
        <f>'Rotor Model (SAE)'!AA34</f>
        <v>0</v>
      </c>
      <c r="X32">
        <f>'Rotor Model (SAE)'!AB34</f>
        <v>0</v>
      </c>
    </row>
    <row r="33" spans="1:24" x14ac:dyDescent="0.25">
      <c r="A33">
        <f>'Rotor Model (SAE)'!A35</f>
        <v>30</v>
      </c>
      <c r="B33" t="str">
        <f>IF('Rotor Model (SAE)'!B35&lt;&gt;"",'Rotor Model (SAE)'!B35,"")</f>
        <v/>
      </c>
      <c r="C33">
        <f>'Rotor Model (SAE)'!C35</f>
        <v>1</v>
      </c>
      <c r="D33">
        <f>'Rotor Model (SAE)'!D35</f>
        <v>3.35</v>
      </c>
      <c r="E33">
        <f>'Rotor Model (SAE)'!E35</f>
        <v>3.5433070866141736</v>
      </c>
      <c r="F33">
        <f>'Rotor Model (SAE)'!F35</f>
        <v>0</v>
      </c>
      <c r="G33">
        <f>'Rotor Model (SAE)'!G35</f>
        <v>0</v>
      </c>
      <c r="H33">
        <f>'Rotor Model (SAE)'!I35</f>
        <v>30000000</v>
      </c>
      <c r="I33">
        <f>'Rotor Model (SAE)'!J35</f>
        <v>0.3</v>
      </c>
      <c r="J33">
        <f>'Rotor Model (SAE)'!H35</f>
        <v>0.28299999999999997</v>
      </c>
      <c r="K33">
        <f>'Rotor Model (SAE)'!O35</f>
        <v>0</v>
      </c>
      <c r="L33">
        <f>'Rotor Model (SAE)'!P35</f>
        <v>0</v>
      </c>
      <c r="M33">
        <f>'Rotor Model (SAE)'!Q35</f>
        <v>0</v>
      </c>
      <c r="N33">
        <f>'Rotor Model (SAE)'!R35</f>
        <v>0</v>
      </c>
      <c r="O33">
        <f>'Rotor Model (SAE)'!S35</f>
        <v>0</v>
      </c>
      <c r="P33">
        <f>'Rotor Model (SAE)'!T35</f>
        <v>0</v>
      </c>
      <c r="Q33">
        <f>'Rotor Model (SAE)'!U35</f>
        <v>0</v>
      </c>
      <c r="R33">
        <f>'Rotor Model (SAE)'!V35</f>
        <v>0</v>
      </c>
      <c r="S33">
        <f>'Rotor Model (SAE)'!W35</f>
        <v>0</v>
      </c>
      <c r="T33">
        <f>'Rotor Model (SAE)'!X35</f>
        <v>0</v>
      </c>
      <c r="U33">
        <f>'Rotor Model (SAE)'!Y35</f>
        <v>0</v>
      </c>
      <c r="V33">
        <f>'Rotor Model (SAE)'!Z35</f>
        <v>0</v>
      </c>
      <c r="W33">
        <f>'Rotor Model (SAE)'!AA35</f>
        <v>0</v>
      </c>
      <c r="X33">
        <f>'Rotor Model (SAE)'!AB35</f>
        <v>0</v>
      </c>
    </row>
    <row r="34" spans="1:24" x14ac:dyDescent="0.25">
      <c r="A34">
        <f>'Rotor Model (SAE)'!A36</f>
        <v>31</v>
      </c>
      <c r="B34" t="str">
        <f>IF('Rotor Model (SAE)'!B36&lt;&gt;"",'Rotor Model (SAE)'!B36,"")</f>
        <v/>
      </c>
      <c r="C34">
        <f>'Rotor Model (SAE)'!C36</f>
        <v>1.155</v>
      </c>
      <c r="D34">
        <f>'Rotor Model (SAE)'!D36</f>
        <v>2.34</v>
      </c>
      <c r="E34">
        <f>'Rotor Model (SAE)'!E36</f>
        <v>2.34</v>
      </c>
      <c r="F34">
        <f>'Rotor Model (SAE)'!F36</f>
        <v>0</v>
      </c>
      <c r="G34">
        <f>'Rotor Model (SAE)'!G36</f>
        <v>0</v>
      </c>
      <c r="H34">
        <f>'Rotor Model (SAE)'!I36</f>
        <v>30000000</v>
      </c>
      <c r="I34">
        <f>'Rotor Model (SAE)'!J36</f>
        <v>0.3</v>
      </c>
      <c r="J34">
        <f>'Rotor Model (SAE)'!H36</f>
        <v>0.28299999999999997</v>
      </c>
      <c r="K34">
        <f>'Rotor Model (SAE)'!O36</f>
        <v>0</v>
      </c>
      <c r="L34">
        <f>'Rotor Model (SAE)'!P36</f>
        <v>0</v>
      </c>
      <c r="M34">
        <f>'Rotor Model (SAE)'!Q36</f>
        <v>0</v>
      </c>
      <c r="N34">
        <f>'Rotor Model (SAE)'!R36</f>
        <v>0</v>
      </c>
      <c r="O34">
        <f>'Rotor Model (SAE)'!S36</f>
        <v>0</v>
      </c>
      <c r="P34">
        <f>'Rotor Model (SAE)'!T36</f>
        <v>0</v>
      </c>
      <c r="Q34">
        <f>'Rotor Model (SAE)'!U36</f>
        <v>0</v>
      </c>
      <c r="R34">
        <f>'Rotor Model (SAE)'!V36</f>
        <v>0</v>
      </c>
      <c r="S34">
        <f>'Rotor Model (SAE)'!W36</f>
        <v>0</v>
      </c>
      <c r="T34">
        <f>'Rotor Model (SAE)'!X36</f>
        <v>0</v>
      </c>
      <c r="U34">
        <f>'Rotor Model (SAE)'!Y36</f>
        <v>0</v>
      </c>
      <c r="V34">
        <f>'Rotor Model (SAE)'!Z36</f>
        <v>0</v>
      </c>
      <c r="W34">
        <f>'Rotor Model (SAE)'!AA36</f>
        <v>0</v>
      </c>
      <c r="X34">
        <f>'Rotor Model (SAE)'!AB36</f>
        <v>0</v>
      </c>
    </row>
    <row r="35" spans="1:24" x14ac:dyDescent="0.25">
      <c r="A35">
        <f>'Rotor Model (SAE)'!A37</f>
        <v>32</v>
      </c>
      <c r="B35" t="str">
        <f>IF('Rotor Model (SAE)'!B37&lt;&gt;"",'Rotor Model (SAE)'!B37,"")</f>
        <v/>
      </c>
      <c r="C35">
        <f>'Rotor Model (SAE)'!C37</f>
        <v>0.41</v>
      </c>
      <c r="D35">
        <f>'Rotor Model (SAE)'!D37</f>
        <v>2.34</v>
      </c>
      <c r="E35">
        <f>'Rotor Model (SAE)'!E37</f>
        <v>2.34</v>
      </c>
      <c r="F35">
        <f>'Rotor Model (SAE)'!F37</f>
        <v>0</v>
      </c>
      <c r="G35">
        <f>'Rotor Model (SAE)'!G37</f>
        <v>0</v>
      </c>
      <c r="H35">
        <f>'Rotor Model (SAE)'!I37</f>
        <v>30000000</v>
      </c>
      <c r="I35">
        <f>'Rotor Model (SAE)'!J37</f>
        <v>0.3</v>
      </c>
      <c r="J35">
        <f>'Rotor Model (SAE)'!H37</f>
        <v>0.28299999999999997</v>
      </c>
      <c r="K35">
        <f>'Rotor Model (SAE)'!O37</f>
        <v>0.25</v>
      </c>
      <c r="L35">
        <f>'Rotor Model (SAE)'!P37</f>
        <v>0</v>
      </c>
      <c r="M35">
        <f>'Rotor Model (SAE)'!Q37</f>
        <v>0</v>
      </c>
      <c r="N35">
        <f>'Rotor Model (SAE)'!R37</f>
        <v>0</v>
      </c>
      <c r="O35">
        <f>'Rotor Model (SAE)'!S37</f>
        <v>0</v>
      </c>
      <c r="P35">
        <f>'Rotor Model (SAE)'!T37</f>
        <v>0</v>
      </c>
      <c r="Q35">
        <f>'Rotor Model (SAE)'!U37</f>
        <v>0</v>
      </c>
      <c r="R35">
        <f>'Rotor Model (SAE)'!V37</f>
        <v>0</v>
      </c>
      <c r="S35">
        <f>'Rotor Model (SAE)'!W37</f>
        <v>0</v>
      </c>
      <c r="T35">
        <f>'Rotor Model (SAE)'!X37</f>
        <v>0</v>
      </c>
      <c r="U35">
        <f>'Rotor Model (SAE)'!Y37</f>
        <v>0</v>
      </c>
      <c r="V35">
        <f>'Rotor Model (SAE)'!Z37</f>
        <v>0</v>
      </c>
      <c r="W35">
        <f>'Rotor Model (SAE)'!AA37</f>
        <v>0</v>
      </c>
      <c r="X35">
        <f>'Rotor Model (SAE)'!AB37</f>
        <v>0</v>
      </c>
    </row>
    <row r="36" spans="1:24" x14ac:dyDescent="0.25">
      <c r="A36">
        <f>'Rotor Model (SAE)'!A38</f>
        <v>33</v>
      </c>
      <c r="B36" t="str">
        <f>IF('Rotor Model (SAE)'!B38&lt;&gt;"",'Rotor Model (SAE)'!B38,"")</f>
        <v/>
      </c>
      <c r="C36">
        <f>'Rotor Model (SAE)'!C38</f>
        <v>0.95600000000000007</v>
      </c>
      <c r="D36">
        <f>'Rotor Model (SAE)'!D38</f>
        <v>2.34</v>
      </c>
      <c r="E36">
        <f>'Rotor Model (SAE)'!E38</f>
        <v>3.5975196850393703</v>
      </c>
      <c r="F36">
        <f>'Rotor Model (SAE)'!F38</f>
        <v>0</v>
      </c>
      <c r="G36">
        <f>'Rotor Model (SAE)'!G38</f>
        <v>0</v>
      </c>
      <c r="H36">
        <f>'Rotor Model (SAE)'!I38</f>
        <v>30000000</v>
      </c>
      <c r="I36">
        <f>'Rotor Model (SAE)'!J38</f>
        <v>0.3</v>
      </c>
      <c r="J36">
        <f>'Rotor Model (SAE)'!H38</f>
        <v>0.28299999999999997</v>
      </c>
      <c r="K36">
        <f>'Rotor Model (SAE)'!O38</f>
        <v>0</v>
      </c>
      <c r="L36">
        <f>'Rotor Model (SAE)'!P38</f>
        <v>0</v>
      </c>
      <c r="M36">
        <f>'Rotor Model (SAE)'!Q38</f>
        <v>0</v>
      </c>
      <c r="N36">
        <f>'Rotor Model (SAE)'!R38</f>
        <v>0</v>
      </c>
      <c r="O36">
        <f>'Rotor Model (SAE)'!S38</f>
        <v>0</v>
      </c>
      <c r="P36">
        <f>'Rotor Model (SAE)'!T38</f>
        <v>0</v>
      </c>
      <c r="Q36">
        <f>'Rotor Model (SAE)'!U38</f>
        <v>0</v>
      </c>
      <c r="R36">
        <f>'Rotor Model (SAE)'!V38</f>
        <v>0</v>
      </c>
      <c r="S36">
        <f>'Rotor Model (SAE)'!W38</f>
        <v>0</v>
      </c>
      <c r="T36">
        <f>'Rotor Model (SAE)'!X38</f>
        <v>0</v>
      </c>
      <c r="U36">
        <f>'Rotor Model (SAE)'!Y38</f>
        <v>0</v>
      </c>
      <c r="V36">
        <f>'Rotor Model (SAE)'!Z38</f>
        <v>0</v>
      </c>
      <c r="W36">
        <f>'Rotor Model (SAE)'!AA38</f>
        <v>0</v>
      </c>
      <c r="X36">
        <f>'Rotor Model (SAE)'!AB38</f>
        <v>0</v>
      </c>
    </row>
    <row r="37" spans="1:24" x14ac:dyDescent="0.25">
      <c r="A37">
        <f>'Rotor Model (SAE)'!A39</f>
        <v>34</v>
      </c>
      <c r="B37" t="str">
        <f>IF('Rotor Model (SAE)'!B39&lt;&gt;"",'Rotor Model (SAE)'!B39,"")</f>
        <v>QTR AMB</v>
      </c>
      <c r="C37">
        <f>'Rotor Model (SAE)'!C39</f>
        <v>0.95600000000000007</v>
      </c>
      <c r="D37">
        <f>'Rotor Model (SAE)'!D39</f>
        <v>2.34</v>
      </c>
      <c r="E37">
        <f>'Rotor Model (SAE)'!E39</f>
        <v>3.5975196850393703</v>
      </c>
      <c r="F37">
        <f>'Rotor Model (SAE)'!F39</f>
        <v>0</v>
      </c>
      <c r="G37">
        <f>'Rotor Model (SAE)'!G39</f>
        <v>0</v>
      </c>
      <c r="H37">
        <f>'Rotor Model (SAE)'!I39</f>
        <v>30000000</v>
      </c>
      <c r="I37">
        <f>'Rotor Model (SAE)'!J39</f>
        <v>0.3</v>
      </c>
      <c r="J37">
        <f>'Rotor Model (SAE)'!H39</f>
        <v>0.28299999999999997</v>
      </c>
      <c r="K37">
        <f>'Rotor Model (SAE)'!O39</f>
        <v>0</v>
      </c>
      <c r="L37">
        <f>'Rotor Model (SAE)'!P39</f>
        <v>0</v>
      </c>
      <c r="M37">
        <f>'Rotor Model (SAE)'!Q39</f>
        <v>0</v>
      </c>
      <c r="N37">
        <f>'Rotor Model (SAE)'!R39</f>
        <v>0</v>
      </c>
      <c r="O37">
        <f>'Rotor Model (SAE)'!S39</f>
        <v>0</v>
      </c>
      <c r="P37">
        <f>'Rotor Model (SAE)'!T39</f>
        <v>0</v>
      </c>
      <c r="Q37">
        <f>'Rotor Model (SAE)'!U39</f>
        <v>0</v>
      </c>
      <c r="R37">
        <f>'Rotor Model (SAE)'!V39</f>
        <v>0</v>
      </c>
      <c r="S37">
        <f>'Rotor Model (SAE)'!W39</f>
        <v>0</v>
      </c>
      <c r="T37">
        <f>'Rotor Model (SAE)'!X39</f>
        <v>0</v>
      </c>
      <c r="U37">
        <f>'Rotor Model (SAE)'!Y39</f>
        <v>0</v>
      </c>
      <c r="V37">
        <f>'Rotor Model (SAE)'!Z39</f>
        <v>0</v>
      </c>
      <c r="W37">
        <f>'Rotor Model (SAE)'!AA39</f>
        <v>0</v>
      </c>
      <c r="X37">
        <f>'Rotor Model (SAE)'!AB39</f>
        <v>0</v>
      </c>
    </row>
    <row r="38" spans="1:24" x14ac:dyDescent="0.25">
      <c r="A38">
        <f>'Rotor Model (SAE)'!A40</f>
        <v>35</v>
      </c>
      <c r="B38" t="str">
        <f>IF('Rotor Model (SAE)'!B40&lt;&gt;"",'Rotor Model (SAE)'!B40,"")</f>
        <v/>
      </c>
      <c r="C38">
        <f>'Rotor Model (SAE)'!C40</f>
        <v>1.1865000000000001</v>
      </c>
      <c r="D38">
        <f>'Rotor Model (SAE)'!D40</f>
        <v>2.2599999999999998</v>
      </c>
      <c r="E38">
        <f>'Rotor Model (SAE)'!E40</f>
        <v>2.2599999999999998</v>
      </c>
      <c r="F38">
        <f>'Rotor Model (SAE)'!F40</f>
        <v>0</v>
      </c>
      <c r="G38">
        <f>'Rotor Model (SAE)'!G40</f>
        <v>0</v>
      </c>
      <c r="H38">
        <f>'Rotor Model (SAE)'!I40</f>
        <v>30000000</v>
      </c>
      <c r="I38">
        <f>'Rotor Model (SAE)'!J40</f>
        <v>0.3</v>
      </c>
      <c r="J38">
        <f>'Rotor Model (SAE)'!H40</f>
        <v>0.28299999999999997</v>
      </c>
      <c r="K38">
        <f>'Rotor Model (SAE)'!O40</f>
        <v>0.11</v>
      </c>
      <c r="L38">
        <f>'Rotor Model (SAE)'!P40</f>
        <v>0</v>
      </c>
      <c r="M38">
        <f>'Rotor Model (SAE)'!Q40</f>
        <v>0</v>
      </c>
      <c r="N38">
        <f>'Rotor Model (SAE)'!R40</f>
        <v>0</v>
      </c>
      <c r="O38">
        <f>'Rotor Model (SAE)'!S40</f>
        <v>0</v>
      </c>
      <c r="P38">
        <f>'Rotor Model (SAE)'!T40</f>
        <v>0</v>
      </c>
      <c r="Q38">
        <f>'Rotor Model (SAE)'!U40</f>
        <v>0</v>
      </c>
      <c r="R38">
        <f>'Rotor Model (SAE)'!V40</f>
        <v>0</v>
      </c>
      <c r="S38">
        <f>'Rotor Model (SAE)'!W40</f>
        <v>0</v>
      </c>
      <c r="T38">
        <f>'Rotor Model (SAE)'!X40</f>
        <v>0</v>
      </c>
      <c r="U38">
        <f>'Rotor Model (SAE)'!Y40</f>
        <v>0</v>
      </c>
      <c r="V38">
        <f>'Rotor Model (SAE)'!Z40</f>
        <v>0</v>
      </c>
      <c r="W38">
        <f>'Rotor Model (SAE)'!AA40</f>
        <v>0</v>
      </c>
      <c r="X38">
        <f>'Rotor Model (SAE)'!AB40</f>
        <v>0</v>
      </c>
    </row>
    <row r="39" spans="1:24" x14ac:dyDescent="0.25">
      <c r="A39">
        <f>'Rotor Model (SAE)'!A41</f>
        <v>36</v>
      </c>
      <c r="B39" t="str">
        <f>IF('Rotor Model (SAE)'!B41&lt;&gt;"",'Rotor Model (SAE)'!B41,"")</f>
        <v/>
      </c>
      <c r="C39">
        <f>'Rotor Model (SAE)'!C41</f>
        <v>1.1865000000000001</v>
      </c>
      <c r="D39">
        <f>'Rotor Model (SAE)'!D41</f>
        <v>2.2599999999999998</v>
      </c>
      <c r="E39">
        <f>'Rotor Model (SAE)'!E41</f>
        <v>2.2599999999999998</v>
      </c>
      <c r="F39">
        <f>'Rotor Model (SAE)'!F41</f>
        <v>0</v>
      </c>
      <c r="G39">
        <f>'Rotor Model (SAE)'!G41</f>
        <v>0</v>
      </c>
      <c r="H39">
        <f>'Rotor Model (SAE)'!I41</f>
        <v>30000000</v>
      </c>
      <c r="I39">
        <f>'Rotor Model (SAE)'!J41</f>
        <v>0.3</v>
      </c>
      <c r="J39">
        <f>'Rotor Model (SAE)'!H41</f>
        <v>0.28299999999999997</v>
      </c>
      <c r="K39">
        <f>'Rotor Model (SAE)'!O41</f>
        <v>0</v>
      </c>
      <c r="L39">
        <f>'Rotor Model (SAE)'!P41</f>
        <v>0</v>
      </c>
      <c r="M39">
        <f>'Rotor Model (SAE)'!Q41</f>
        <v>0</v>
      </c>
      <c r="N39">
        <f>'Rotor Model (SAE)'!R41</f>
        <v>0</v>
      </c>
      <c r="O39">
        <f>'Rotor Model (SAE)'!S41</f>
        <v>0</v>
      </c>
      <c r="P39">
        <f>'Rotor Model (SAE)'!T41</f>
        <v>0</v>
      </c>
      <c r="Q39">
        <f>'Rotor Model (SAE)'!U41</f>
        <v>0</v>
      </c>
      <c r="R39">
        <f>'Rotor Model (SAE)'!V41</f>
        <v>0</v>
      </c>
      <c r="S39">
        <f>'Rotor Model (SAE)'!W41</f>
        <v>0</v>
      </c>
      <c r="T39">
        <f>'Rotor Model (SAE)'!X41</f>
        <v>0</v>
      </c>
      <c r="U39">
        <f>'Rotor Model (SAE)'!Y41</f>
        <v>0</v>
      </c>
      <c r="V39">
        <f>'Rotor Model (SAE)'!Z41</f>
        <v>0</v>
      </c>
      <c r="W39">
        <f>'Rotor Model (SAE)'!AA41</f>
        <v>0</v>
      </c>
      <c r="X39">
        <f>'Rotor Model (SAE)'!AB41</f>
        <v>0</v>
      </c>
    </row>
    <row r="40" spans="1:24" x14ac:dyDescent="0.25">
      <c r="A40">
        <f>'Rotor Model (SAE)'!A42</f>
        <v>37</v>
      </c>
      <c r="B40" t="str">
        <f>IF('Rotor Model (SAE)'!B42&lt;&gt;"",'Rotor Model (SAE)'!B42,"")</f>
        <v/>
      </c>
      <c r="C40">
        <f>'Rotor Model (SAE)'!C42</f>
        <v>0.625</v>
      </c>
      <c r="D40">
        <f>'Rotor Model (SAE)'!D42</f>
        <v>2.2599999999999998</v>
      </c>
      <c r="E40">
        <f>'Rotor Model (SAE)'!E42</f>
        <v>2.2599999999999998</v>
      </c>
      <c r="F40">
        <f>'Rotor Model (SAE)'!F42</f>
        <v>0</v>
      </c>
      <c r="G40">
        <f>'Rotor Model (SAE)'!G42</f>
        <v>0</v>
      </c>
      <c r="H40">
        <f>'Rotor Model (SAE)'!I42</f>
        <v>30000000</v>
      </c>
      <c r="I40">
        <f>'Rotor Model (SAE)'!J42</f>
        <v>0.3</v>
      </c>
      <c r="J40">
        <f>'Rotor Model (SAE)'!H42</f>
        <v>0.28299999999999997</v>
      </c>
      <c r="K40">
        <f>'Rotor Model (SAE)'!O42</f>
        <v>0</v>
      </c>
      <c r="L40">
        <f>'Rotor Model (SAE)'!P42</f>
        <v>0</v>
      </c>
      <c r="M40">
        <f>'Rotor Model (SAE)'!Q42</f>
        <v>0</v>
      </c>
      <c r="N40">
        <f>'Rotor Model (SAE)'!R42</f>
        <v>0</v>
      </c>
      <c r="O40">
        <f>'Rotor Model (SAE)'!S42</f>
        <v>0</v>
      </c>
      <c r="P40">
        <f>'Rotor Model (SAE)'!T42</f>
        <v>0</v>
      </c>
      <c r="Q40">
        <f>'Rotor Model (SAE)'!U42</f>
        <v>0</v>
      </c>
      <c r="R40">
        <f>'Rotor Model (SAE)'!V42</f>
        <v>0</v>
      </c>
      <c r="S40">
        <f>'Rotor Model (SAE)'!W42</f>
        <v>0</v>
      </c>
      <c r="T40">
        <f>'Rotor Model (SAE)'!X42</f>
        <v>0</v>
      </c>
      <c r="U40">
        <f>'Rotor Model (SAE)'!Y42</f>
        <v>0</v>
      </c>
      <c r="V40">
        <f>'Rotor Model (SAE)'!Z42</f>
        <v>0</v>
      </c>
      <c r="W40">
        <f>'Rotor Model (SAE)'!AA42</f>
        <v>0</v>
      </c>
      <c r="X40">
        <f>'Rotor Model (SAE)'!AB42</f>
        <v>0</v>
      </c>
    </row>
    <row r="41" spans="1:24" x14ac:dyDescent="0.25">
      <c r="A41">
        <f>'Rotor Model (SAE)'!A43</f>
        <v>38</v>
      </c>
      <c r="B41" t="str">
        <f>IF('Rotor Model (SAE)'!B43&lt;&gt;"",'Rotor Model (SAE)'!B43,"")</f>
        <v>DE Probe</v>
      </c>
      <c r="C41">
        <f>'Rotor Model (SAE)'!C43</f>
        <v>0.625</v>
      </c>
      <c r="D41">
        <f>'Rotor Model (SAE)'!D43</f>
        <v>2.2599999999999998</v>
      </c>
      <c r="E41">
        <f>'Rotor Model (SAE)'!E43</f>
        <v>2.2599999999999998</v>
      </c>
      <c r="F41">
        <f>'Rotor Model (SAE)'!F43</f>
        <v>0</v>
      </c>
      <c r="G41">
        <f>'Rotor Model (SAE)'!G43</f>
        <v>0</v>
      </c>
      <c r="H41">
        <f>'Rotor Model (SAE)'!I43</f>
        <v>30000000</v>
      </c>
      <c r="I41">
        <f>'Rotor Model (SAE)'!J43</f>
        <v>0.3</v>
      </c>
      <c r="J41">
        <f>'Rotor Model (SAE)'!H43</f>
        <v>0.28299999999999997</v>
      </c>
      <c r="K41">
        <f>'Rotor Model (SAE)'!O43</f>
        <v>0</v>
      </c>
      <c r="L41">
        <f>'Rotor Model (SAE)'!P43</f>
        <v>0</v>
      </c>
      <c r="M41">
        <f>'Rotor Model (SAE)'!Q43</f>
        <v>0</v>
      </c>
      <c r="N41">
        <f>'Rotor Model (SAE)'!R43</f>
        <v>0</v>
      </c>
      <c r="O41">
        <f>'Rotor Model (SAE)'!S43</f>
        <v>0</v>
      </c>
      <c r="P41">
        <f>'Rotor Model (SAE)'!T43</f>
        <v>0</v>
      </c>
      <c r="Q41">
        <f>'Rotor Model (SAE)'!U43</f>
        <v>0</v>
      </c>
      <c r="R41">
        <f>'Rotor Model (SAE)'!V43</f>
        <v>0</v>
      </c>
      <c r="S41">
        <f>'Rotor Model (SAE)'!W43</f>
        <v>0</v>
      </c>
      <c r="T41">
        <f>'Rotor Model (SAE)'!X43</f>
        <v>0</v>
      </c>
      <c r="U41">
        <f>'Rotor Model (SAE)'!Y43</f>
        <v>0</v>
      </c>
      <c r="V41">
        <f>'Rotor Model (SAE)'!Z43</f>
        <v>0</v>
      </c>
      <c r="W41">
        <f>'Rotor Model (SAE)'!AA43</f>
        <v>0</v>
      </c>
      <c r="X41">
        <f>'Rotor Model (SAE)'!AB43</f>
        <v>0</v>
      </c>
    </row>
    <row r="42" spans="1:24" x14ac:dyDescent="0.25">
      <c r="A42">
        <f>'Rotor Model (SAE)'!A44</f>
        <v>39</v>
      </c>
      <c r="B42" t="str">
        <f>IF('Rotor Model (SAE)'!B44&lt;&gt;"",'Rotor Model (SAE)'!B44,"")</f>
        <v/>
      </c>
      <c r="C42">
        <f>'Rotor Model (SAE)'!C44</f>
        <v>1.1124999999999998</v>
      </c>
      <c r="D42">
        <f>'Rotor Model (SAE)'!D44</f>
        <v>2.2599999999999998</v>
      </c>
      <c r="E42">
        <f>'Rotor Model (SAE)'!E44</f>
        <v>3.5920078740157484</v>
      </c>
      <c r="F42">
        <f>'Rotor Model (SAE)'!F44</f>
        <v>0</v>
      </c>
      <c r="G42">
        <f>'Rotor Model (SAE)'!G44</f>
        <v>0</v>
      </c>
      <c r="H42">
        <f>'Rotor Model (SAE)'!I44</f>
        <v>30000000</v>
      </c>
      <c r="I42">
        <f>'Rotor Model (SAE)'!J44</f>
        <v>0.3</v>
      </c>
      <c r="J42">
        <f>'Rotor Model (SAE)'!H44</f>
        <v>0.28299999999999997</v>
      </c>
      <c r="K42">
        <f>'Rotor Model (SAE)'!O44</f>
        <v>0</v>
      </c>
      <c r="L42">
        <f>'Rotor Model (SAE)'!P44</f>
        <v>0</v>
      </c>
      <c r="M42">
        <f>'Rotor Model (SAE)'!Q44</f>
        <v>0</v>
      </c>
      <c r="N42">
        <f>'Rotor Model (SAE)'!R44</f>
        <v>0</v>
      </c>
      <c r="O42">
        <f>'Rotor Model (SAE)'!S44</f>
        <v>0</v>
      </c>
      <c r="P42">
        <f>'Rotor Model (SAE)'!T44</f>
        <v>0</v>
      </c>
      <c r="Q42">
        <f>'Rotor Model (SAE)'!U44</f>
        <v>0</v>
      </c>
      <c r="R42">
        <f>'Rotor Model (SAE)'!V44</f>
        <v>0</v>
      </c>
      <c r="S42">
        <f>'Rotor Model (SAE)'!W44</f>
        <v>0</v>
      </c>
      <c r="T42">
        <f>'Rotor Model (SAE)'!X44</f>
        <v>0</v>
      </c>
      <c r="U42">
        <f>'Rotor Model (SAE)'!Y44</f>
        <v>0</v>
      </c>
      <c r="V42">
        <f>'Rotor Model (SAE)'!Z44</f>
        <v>0</v>
      </c>
      <c r="W42">
        <f>'Rotor Model (SAE)'!AA44</f>
        <v>0</v>
      </c>
      <c r="X42">
        <f>'Rotor Model (SAE)'!AB44</f>
        <v>0</v>
      </c>
    </row>
    <row r="43" spans="1:24" x14ac:dyDescent="0.25">
      <c r="A43">
        <f>'Rotor Model (SAE)'!A45</f>
        <v>40</v>
      </c>
      <c r="B43" t="str">
        <f>IF('Rotor Model (SAE)'!B45&lt;&gt;"",'Rotor Model (SAE)'!B45,"")</f>
        <v xml:space="preserve">DE AMB </v>
      </c>
      <c r="C43">
        <f>'Rotor Model (SAE)'!C45</f>
        <v>1.1124999999999998</v>
      </c>
      <c r="D43">
        <f>'Rotor Model (SAE)'!D45</f>
        <v>2.2599999999999998</v>
      </c>
      <c r="E43">
        <f>'Rotor Model (SAE)'!E45</f>
        <v>3.5920078740157484</v>
      </c>
      <c r="F43">
        <f>'Rotor Model (SAE)'!F45</f>
        <v>0</v>
      </c>
      <c r="G43">
        <f>'Rotor Model (SAE)'!G45</f>
        <v>0</v>
      </c>
      <c r="H43">
        <f>'Rotor Model (SAE)'!I45</f>
        <v>30000000</v>
      </c>
      <c r="I43">
        <f>'Rotor Model (SAE)'!J45</f>
        <v>0.3</v>
      </c>
      <c r="J43">
        <f>'Rotor Model (SAE)'!H45</f>
        <v>0.28299999999999997</v>
      </c>
      <c r="K43">
        <f>'Rotor Model (SAE)'!O45</f>
        <v>0</v>
      </c>
      <c r="L43">
        <f>'Rotor Model (SAE)'!P45</f>
        <v>0</v>
      </c>
      <c r="M43">
        <f>'Rotor Model (SAE)'!Q45</f>
        <v>0</v>
      </c>
      <c r="N43">
        <f>'Rotor Model (SAE)'!R45</f>
        <v>0</v>
      </c>
      <c r="O43">
        <f>'Rotor Model (SAE)'!S45</f>
        <v>0</v>
      </c>
      <c r="P43">
        <f>'Rotor Model (SAE)'!T45</f>
        <v>0</v>
      </c>
      <c r="Q43">
        <f>'Rotor Model (SAE)'!U45</f>
        <v>0</v>
      </c>
      <c r="R43">
        <f>'Rotor Model (SAE)'!V45</f>
        <v>0</v>
      </c>
      <c r="S43">
        <f>'Rotor Model (SAE)'!W45</f>
        <v>0</v>
      </c>
      <c r="T43">
        <f>'Rotor Model (SAE)'!X45</f>
        <v>0</v>
      </c>
      <c r="U43">
        <f>'Rotor Model (SAE)'!Y45</f>
        <v>0</v>
      </c>
      <c r="V43">
        <f>'Rotor Model (SAE)'!Z45</f>
        <v>0</v>
      </c>
      <c r="W43">
        <f>'Rotor Model (SAE)'!AA45</f>
        <v>0</v>
      </c>
      <c r="X43">
        <f>'Rotor Model (SAE)'!AB45</f>
        <v>0</v>
      </c>
    </row>
    <row r="44" spans="1:24" x14ac:dyDescent="0.25">
      <c r="A44">
        <f>'Rotor Model (SAE)'!A46</f>
        <v>41</v>
      </c>
      <c r="B44" t="str">
        <f>IF('Rotor Model (SAE)'!B46&lt;&gt;"",'Rotor Model (SAE)'!B46,"")</f>
        <v/>
      </c>
      <c r="C44">
        <f>'Rotor Model (SAE)'!C46</f>
        <v>0.72049999999999992</v>
      </c>
      <c r="D44">
        <f>'Rotor Model (SAE)'!D46</f>
        <v>2.145</v>
      </c>
      <c r="E44">
        <f>'Rotor Model (SAE)'!E46</f>
        <v>2.145</v>
      </c>
      <c r="F44">
        <f>'Rotor Model (SAE)'!F46</f>
        <v>0</v>
      </c>
      <c r="G44">
        <f>'Rotor Model (SAE)'!G46</f>
        <v>0</v>
      </c>
      <c r="H44">
        <f>'Rotor Model (SAE)'!I46</f>
        <v>30000000</v>
      </c>
      <c r="I44">
        <f>'Rotor Model (SAE)'!J46</f>
        <v>0.3</v>
      </c>
      <c r="J44">
        <f>'Rotor Model (SAE)'!H46</f>
        <v>0.28299999999999997</v>
      </c>
      <c r="K44">
        <f>'Rotor Model (SAE)'!O46</f>
        <v>0.12</v>
      </c>
      <c r="L44">
        <f>'Rotor Model (SAE)'!P46</f>
        <v>0</v>
      </c>
      <c r="M44">
        <f>'Rotor Model (SAE)'!Q46</f>
        <v>0</v>
      </c>
      <c r="N44">
        <f>'Rotor Model (SAE)'!R46</f>
        <v>0</v>
      </c>
      <c r="O44">
        <f>'Rotor Model (SAE)'!S46</f>
        <v>0</v>
      </c>
      <c r="P44">
        <f>'Rotor Model (SAE)'!T46</f>
        <v>0</v>
      </c>
      <c r="Q44">
        <f>'Rotor Model (SAE)'!U46</f>
        <v>0</v>
      </c>
      <c r="R44">
        <f>'Rotor Model (SAE)'!V46</f>
        <v>0</v>
      </c>
      <c r="S44">
        <f>'Rotor Model (SAE)'!W46</f>
        <v>0</v>
      </c>
      <c r="T44">
        <f>'Rotor Model (SAE)'!X46</f>
        <v>0</v>
      </c>
      <c r="U44">
        <f>'Rotor Model (SAE)'!Y46</f>
        <v>0</v>
      </c>
      <c r="V44">
        <f>'Rotor Model (SAE)'!Z46</f>
        <v>0</v>
      </c>
      <c r="W44">
        <f>'Rotor Model (SAE)'!AA46</f>
        <v>0</v>
      </c>
      <c r="X44">
        <f>'Rotor Model (SAE)'!AB46</f>
        <v>0</v>
      </c>
    </row>
    <row r="45" spans="1:24" x14ac:dyDescent="0.25">
      <c r="A45">
        <f>'Rotor Model (SAE)'!A47</f>
        <v>42</v>
      </c>
      <c r="B45" t="str">
        <f>IF('Rotor Model (SAE)'!B47&lt;&gt;"",'Rotor Model (SAE)'!B47,"")</f>
        <v/>
      </c>
      <c r="C45">
        <f>'Rotor Model (SAE)'!C47</f>
        <v>0.53249999999999997</v>
      </c>
      <c r="D45">
        <f>'Rotor Model (SAE)'!D47</f>
        <v>2.145</v>
      </c>
      <c r="E45">
        <f>'Rotor Model (SAE)'!E47</f>
        <v>2.145</v>
      </c>
      <c r="F45">
        <f>'Rotor Model (SAE)'!F47</f>
        <v>0</v>
      </c>
      <c r="G45">
        <f>'Rotor Model (SAE)'!G47</f>
        <v>0</v>
      </c>
      <c r="H45">
        <f>'Rotor Model (SAE)'!I47</f>
        <v>30000000</v>
      </c>
      <c r="I45">
        <f>'Rotor Model (SAE)'!J47</f>
        <v>0.3</v>
      </c>
      <c r="J45">
        <f>'Rotor Model (SAE)'!H47</f>
        <v>0.28299999999999997</v>
      </c>
      <c r="K45">
        <f>'Rotor Model (SAE)'!O47</f>
        <v>0</v>
      </c>
      <c r="L45">
        <f>'Rotor Model (SAE)'!P47</f>
        <v>0</v>
      </c>
      <c r="M45">
        <f>'Rotor Model (SAE)'!Q47</f>
        <v>0</v>
      </c>
      <c r="N45">
        <f>'Rotor Model (SAE)'!R47</f>
        <v>0</v>
      </c>
      <c r="O45">
        <f>'Rotor Model (SAE)'!S47</f>
        <v>0</v>
      </c>
      <c r="P45">
        <f>'Rotor Model (SAE)'!T47</f>
        <v>0</v>
      </c>
      <c r="Q45">
        <f>'Rotor Model (SAE)'!U47</f>
        <v>0</v>
      </c>
      <c r="R45">
        <f>'Rotor Model (SAE)'!V47</f>
        <v>0</v>
      </c>
      <c r="S45">
        <f>'Rotor Model (SAE)'!W47</f>
        <v>0</v>
      </c>
      <c r="T45">
        <f>'Rotor Model (SAE)'!X47</f>
        <v>0</v>
      </c>
      <c r="U45">
        <f>'Rotor Model (SAE)'!Y47</f>
        <v>0</v>
      </c>
      <c r="V45">
        <f>'Rotor Model (SAE)'!Z47</f>
        <v>0</v>
      </c>
      <c r="W45">
        <f>'Rotor Model (SAE)'!AA47</f>
        <v>0</v>
      </c>
      <c r="X45">
        <f>'Rotor Model (SAE)'!AB47</f>
        <v>0</v>
      </c>
    </row>
    <row r="46" spans="1:24" x14ac:dyDescent="0.25">
      <c r="A46">
        <f>'Rotor Model (SAE)'!A48</f>
        <v>43</v>
      </c>
      <c r="B46" t="str">
        <f>IF('Rotor Model (SAE)'!B48&lt;&gt;"",'Rotor Model (SAE)'!B48,"")</f>
        <v/>
      </c>
      <c r="C46">
        <f>'Rotor Model (SAE)'!C48</f>
        <v>0.25</v>
      </c>
      <c r="D46">
        <f>'Rotor Model (SAE)'!D48</f>
        <v>1.64</v>
      </c>
      <c r="E46">
        <f>'Rotor Model (SAE)'!E48</f>
        <v>1.64</v>
      </c>
      <c r="F46">
        <f>'Rotor Model (SAE)'!F48</f>
        <v>0</v>
      </c>
      <c r="G46">
        <f>'Rotor Model (SAE)'!G48</f>
        <v>0</v>
      </c>
      <c r="H46">
        <f>'Rotor Model (SAE)'!I48</f>
        <v>30000000</v>
      </c>
      <c r="I46">
        <f>'Rotor Model (SAE)'!J48</f>
        <v>0.3</v>
      </c>
      <c r="J46">
        <f>'Rotor Model (SAE)'!H48</f>
        <v>0.28299999999999997</v>
      </c>
      <c r="K46">
        <f>'Rotor Model (SAE)'!O48</f>
        <v>0</v>
      </c>
      <c r="L46">
        <f>'Rotor Model (SAE)'!P48</f>
        <v>0</v>
      </c>
      <c r="M46">
        <f>'Rotor Model (SAE)'!Q48</f>
        <v>0</v>
      </c>
      <c r="N46">
        <f>'Rotor Model (SAE)'!R48</f>
        <v>0</v>
      </c>
      <c r="O46">
        <f>'Rotor Model (SAE)'!S48</f>
        <v>0</v>
      </c>
      <c r="P46">
        <f>'Rotor Model (SAE)'!T48</f>
        <v>0</v>
      </c>
      <c r="Q46">
        <f>'Rotor Model (SAE)'!U48</f>
        <v>0</v>
      </c>
      <c r="R46">
        <f>'Rotor Model (SAE)'!V48</f>
        <v>0</v>
      </c>
      <c r="S46">
        <f>'Rotor Model (SAE)'!W48</f>
        <v>0</v>
      </c>
      <c r="T46">
        <f>'Rotor Model (SAE)'!X48</f>
        <v>0</v>
      </c>
      <c r="U46">
        <f>'Rotor Model (SAE)'!Y48</f>
        <v>0</v>
      </c>
      <c r="V46">
        <f>'Rotor Model (SAE)'!Z48</f>
        <v>0</v>
      </c>
      <c r="W46">
        <f>'Rotor Model (SAE)'!AA48</f>
        <v>0</v>
      </c>
      <c r="X46">
        <f>'Rotor Model (SAE)'!AB48</f>
        <v>0</v>
      </c>
    </row>
    <row r="47" spans="1:24" x14ac:dyDescent="0.25">
      <c r="A47">
        <f>'Rotor Model (SAE)'!A49</f>
        <v>44</v>
      </c>
      <c r="B47" t="str">
        <f>IF('Rotor Model (SAE)'!B49&lt;&gt;"",'Rotor Model (SAE)'!B49,"")</f>
        <v>Cpl</v>
      </c>
      <c r="C47">
        <f>'Rotor Model (SAE)'!C49</f>
        <v>1.1879999999999999</v>
      </c>
      <c r="D47">
        <f>'Rotor Model (SAE)'!D49</f>
        <v>0.4385</v>
      </c>
      <c r="E47">
        <f>'Rotor Model (SAE)'!E49</f>
        <v>0.4385</v>
      </c>
      <c r="F47">
        <f>'Rotor Model (SAE)'!F49</f>
        <v>0</v>
      </c>
      <c r="G47">
        <f>'Rotor Model (SAE)'!G49</f>
        <v>0</v>
      </c>
      <c r="H47">
        <f>'Rotor Model (SAE)'!I49</f>
        <v>30000000</v>
      </c>
      <c r="I47">
        <f>'Rotor Model (SAE)'!J49</f>
        <v>0.3</v>
      </c>
      <c r="J47">
        <f>'Rotor Model (SAE)'!H49</f>
        <v>0.28299999999999997</v>
      </c>
      <c r="K47">
        <f>'Rotor Model (SAE)'!O49</f>
        <v>0</v>
      </c>
      <c r="L47">
        <f>'Rotor Model (SAE)'!P49</f>
        <v>0</v>
      </c>
      <c r="M47">
        <f>'Rotor Model (SAE)'!Q49</f>
        <v>0</v>
      </c>
      <c r="N47">
        <f>'Rotor Model (SAE)'!R49</f>
        <v>0</v>
      </c>
      <c r="O47">
        <f>'Rotor Model (SAE)'!S49</f>
        <v>0</v>
      </c>
      <c r="P47">
        <f>'Rotor Model (SAE)'!T49</f>
        <v>0</v>
      </c>
      <c r="Q47">
        <f>'Rotor Model (SAE)'!U49</f>
        <v>0</v>
      </c>
      <c r="R47">
        <f>'Rotor Model (SAE)'!V49</f>
        <v>0</v>
      </c>
      <c r="S47">
        <f>'Rotor Model (SAE)'!W49</f>
        <v>0</v>
      </c>
      <c r="T47">
        <f>'Rotor Model (SAE)'!X49</f>
        <v>0</v>
      </c>
      <c r="U47">
        <f>'Rotor Model (SAE)'!Y49</f>
        <v>0</v>
      </c>
      <c r="V47">
        <f>'Rotor Model (SAE)'!Z49</f>
        <v>0</v>
      </c>
      <c r="W47">
        <f>'Rotor Model (SAE)'!AA49</f>
        <v>0</v>
      </c>
      <c r="X47">
        <f>'Rotor Model (SAE)'!AB49</f>
        <v>0</v>
      </c>
    </row>
    <row r="48" spans="1:24" x14ac:dyDescent="0.25">
      <c r="A48">
        <f>'Rotor Model (SAE)'!A50</f>
        <v>45</v>
      </c>
      <c r="B48" t="str">
        <f>IF('Rotor Model (SAE)'!B50&lt;&gt;"",'Rotor Model (SAE)'!B50,"")</f>
        <v/>
      </c>
      <c r="C48">
        <f>'Rotor Model (SAE)'!C50</f>
        <v>0</v>
      </c>
      <c r="D48">
        <f>'Rotor Model (SAE)'!D50</f>
        <v>0.01</v>
      </c>
      <c r="E48">
        <f>'Rotor Model (SAE)'!E50</f>
        <v>0</v>
      </c>
      <c r="F48">
        <f>'Rotor Model (SAE)'!F50</f>
        <v>0</v>
      </c>
      <c r="G48">
        <f>'Rotor Model (SAE)'!G50</f>
        <v>0</v>
      </c>
      <c r="H48">
        <f>'Rotor Model (SAE)'!I50</f>
        <v>30000000</v>
      </c>
      <c r="I48">
        <f>'Rotor Model (SAE)'!J50</f>
        <v>0.3</v>
      </c>
      <c r="J48">
        <f>'Rotor Model (SAE)'!H50</f>
        <v>0.28299999999999997</v>
      </c>
      <c r="K48">
        <f>'Rotor Model (SAE)'!O50</f>
        <v>0</v>
      </c>
      <c r="L48">
        <f>'Rotor Model (SAE)'!P50</f>
        <v>0</v>
      </c>
      <c r="M48">
        <f>'Rotor Model (SAE)'!Q50</f>
        <v>0</v>
      </c>
      <c r="N48">
        <f>'Rotor Model (SAE)'!R50</f>
        <v>0</v>
      </c>
      <c r="O48">
        <f>'Rotor Model (SAE)'!S50</f>
        <v>0</v>
      </c>
      <c r="P48">
        <f>'Rotor Model (SAE)'!T50</f>
        <v>0</v>
      </c>
      <c r="Q48">
        <f>'Rotor Model (SAE)'!U50</f>
        <v>0</v>
      </c>
      <c r="R48">
        <f>'Rotor Model (SAE)'!V50</f>
        <v>0</v>
      </c>
      <c r="S48">
        <f>'Rotor Model (SAE)'!W50</f>
        <v>0</v>
      </c>
      <c r="T48">
        <f>'Rotor Model (SAE)'!X50</f>
        <v>0</v>
      </c>
      <c r="U48">
        <f>'Rotor Model (SAE)'!Y50</f>
        <v>0</v>
      </c>
      <c r="V48">
        <f>'Rotor Model (SAE)'!Z50</f>
        <v>0</v>
      </c>
      <c r="W48">
        <f>'Rotor Model (SAE)'!AA50</f>
        <v>0</v>
      </c>
      <c r="X48">
        <f>'Rotor Model (SAE)'!AB50</f>
        <v>0</v>
      </c>
    </row>
    <row r="49" spans="1:24" x14ac:dyDescent="0.25">
      <c r="A49">
        <f>'Rotor Model (SAE)'!A51</f>
        <v>46</v>
      </c>
      <c r="B49" t="str">
        <f>IF('Rotor Model (SAE)'!B51&lt;&gt;"",'Rotor Model (SAE)'!B51,"")</f>
        <v/>
      </c>
      <c r="C49">
        <f>'Rotor Model (SAE)'!C51</f>
        <v>0</v>
      </c>
      <c r="D49">
        <f>'Rotor Model (SAE)'!D51</f>
        <v>0</v>
      </c>
      <c r="E49">
        <f>'Rotor Model (SAE)'!E51</f>
        <v>0</v>
      </c>
      <c r="F49">
        <f>'Rotor Model (SAE)'!F51</f>
        <v>0</v>
      </c>
      <c r="G49">
        <f>'Rotor Model (SAE)'!G51</f>
        <v>0</v>
      </c>
      <c r="H49">
        <f>'Rotor Model (SAE)'!I51</f>
        <v>30000000</v>
      </c>
      <c r="I49">
        <f>'Rotor Model (SAE)'!J51</f>
        <v>0.3</v>
      </c>
      <c r="J49">
        <f>'Rotor Model (SAE)'!H51</f>
        <v>0.28299999999999997</v>
      </c>
      <c r="K49">
        <f>'Rotor Model (SAE)'!O51</f>
        <v>0</v>
      </c>
      <c r="L49">
        <f>'Rotor Model (SAE)'!P51</f>
        <v>0</v>
      </c>
      <c r="M49">
        <f>'Rotor Model (SAE)'!Q51</f>
        <v>0</v>
      </c>
      <c r="N49">
        <f>'Rotor Model (SAE)'!R51</f>
        <v>0</v>
      </c>
      <c r="O49">
        <f>'Rotor Model (SAE)'!S51</f>
        <v>0</v>
      </c>
      <c r="P49">
        <f>'Rotor Model (SAE)'!T51</f>
        <v>0</v>
      </c>
      <c r="Q49">
        <f>'Rotor Model (SAE)'!U51</f>
        <v>0</v>
      </c>
      <c r="R49">
        <f>'Rotor Model (SAE)'!V51</f>
        <v>0</v>
      </c>
      <c r="S49">
        <f>'Rotor Model (SAE)'!W51</f>
        <v>0</v>
      </c>
      <c r="T49">
        <f>'Rotor Model (SAE)'!X51</f>
        <v>0</v>
      </c>
      <c r="U49">
        <f>'Rotor Model (SAE)'!Y51</f>
        <v>0</v>
      </c>
      <c r="V49">
        <f>'Rotor Model (SAE)'!Z51</f>
        <v>0</v>
      </c>
      <c r="W49">
        <f>'Rotor Model (SAE)'!AA51</f>
        <v>0</v>
      </c>
      <c r="X49">
        <f>'Rotor Model (SAE)'!AB51</f>
        <v>0</v>
      </c>
    </row>
    <row r="50" spans="1:24" x14ac:dyDescent="0.25">
      <c r="A50">
        <f>'Rotor Model (SAE)'!A52</f>
        <v>47</v>
      </c>
      <c r="B50" t="str">
        <f>IF('Rotor Model (SAE)'!B52&lt;&gt;"",'Rotor Model (SAE)'!B52,"")</f>
        <v/>
      </c>
      <c r="C50">
        <f>'Rotor Model (SAE)'!C52</f>
        <v>0</v>
      </c>
      <c r="D50">
        <f>'Rotor Model (SAE)'!D52</f>
        <v>0</v>
      </c>
      <c r="E50">
        <f>'Rotor Model (SAE)'!E52</f>
        <v>0</v>
      </c>
      <c r="F50">
        <f>'Rotor Model (SAE)'!F52</f>
        <v>0</v>
      </c>
      <c r="G50">
        <f>'Rotor Model (SAE)'!G52</f>
        <v>0</v>
      </c>
      <c r="H50">
        <f>'Rotor Model (SAE)'!I52</f>
        <v>30000000</v>
      </c>
      <c r="I50">
        <f>'Rotor Model (SAE)'!J52</f>
        <v>0.3</v>
      </c>
      <c r="J50">
        <f>'Rotor Model (SAE)'!H52</f>
        <v>0.28299999999999997</v>
      </c>
      <c r="K50">
        <f>'Rotor Model (SAE)'!O52</f>
        <v>0</v>
      </c>
      <c r="L50">
        <f>'Rotor Model (SAE)'!P52</f>
        <v>0</v>
      </c>
      <c r="M50">
        <f>'Rotor Model (SAE)'!Q52</f>
        <v>0</v>
      </c>
      <c r="N50">
        <f>'Rotor Model (SAE)'!R52</f>
        <v>0</v>
      </c>
      <c r="O50">
        <f>'Rotor Model (SAE)'!S52</f>
        <v>0</v>
      </c>
      <c r="P50">
        <f>'Rotor Model (SAE)'!T52</f>
        <v>0</v>
      </c>
      <c r="Q50">
        <f>'Rotor Model (SAE)'!U52</f>
        <v>0</v>
      </c>
      <c r="R50">
        <f>'Rotor Model (SAE)'!V52</f>
        <v>0</v>
      </c>
      <c r="S50">
        <f>'Rotor Model (SAE)'!W52</f>
        <v>0</v>
      </c>
      <c r="T50">
        <f>'Rotor Model (SAE)'!X52</f>
        <v>0</v>
      </c>
      <c r="U50">
        <f>'Rotor Model (SAE)'!Y52</f>
        <v>0</v>
      </c>
      <c r="V50">
        <f>'Rotor Model (SAE)'!Z52</f>
        <v>0</v>
      </c>
      <c r="W50">
        <f>'Rotor Model (SAE)'!AA52</f>
        <v>0</v>
      </c>
      <c r="X50">
        <f>'Rotor Model (SAE)'!AB52</f>
        <v>0</v>
      </c>
    </row>
    <row r="51" spans="1:24" x14ac:dyDescent="0.25">
      <c r="A51">
        <f>'Rotor Model (SAE)'!A53</f>
        <v>48</v>
      </c>
      <c r="B51" t="str">
        <f>IF('Rotor Model (SAE)'!B53&lt;&gt;"",'Rotor Model (SAE)'!B53,"")</f>
        <v/>
      </c>
      <c r="C51">
        <f>'Rotor Model (SAE)'!C53</f>
        <v>0</v>
      </c>
      <c r="D51">
        <f>'Rotor Model (SAE)'!D53</f>
        <v>0</v>
      </c>
      <c r="E51">
        <f>'Rotor Model (SAE)'!E53</f>
        <v>0</v>
      </c>
      <c r="F51">
        <f>'Rotor Model (SAE)'!F53</f>
        <v>0</v>
      </c>
      <c r="G51">
        <f>'Rotor Model (SAE)'!G53</f>
        <v>0</v>
      </c>
      <c r="H51">
        <f>'Rotor Model (SAE)'!I53</f>
        <v>30000000</v>
      </c>
      <c r="I51">
        <f>'Rotor Model (SAE)'!J53</f>
        <v>0.3</v>
      </c>
      <c r="J51">
        <f>'Rotor Model (SAE)'!H53</f>
        <v>0.28299999999999997</v>
      </c>
      <c r="K51">
        <f>'Rotor Model (SAE)'!O53</f>
        <v>0</v>
      </c>
      <c r="L51">
        <f>'Rotor Model (SAE)'!P53</f>
        <v>0</v>
      </c>
      <c r="M51">
        <f>'Rotor Model (SAE)'!Q53</f>
        <v>0</v>
      </c>
      <c r="N51">
        <f>'Rotor Model (SAE)'!R53</f>
        <v>0</v>
      </c>
      <c r="O51">
        <f>'Rotor Model (SAE)'!S53</f>
        <v>0</v>
      </c>
      <c r="P51">
        <f>'Rotor Model (SAE)'!T53</f>
        <v>0</v>
      </c>
      <c r="Q51">
        <f>'Rotor Model (SAE)'!U53</f>
        <v>0</v>
      </c>
      <c r="R51">
        <f>'Rotor Model (SAE)'!V53</f>
        <v>0</v>
      </c>
      <c r="S51">
        <f>'Rotor Model (SAE)'!W53</f>
        <v>0</v>
      </c>
      <c r="T51">
        <f>'Rotor Model (SAE)'!X53</f>
        <v>0</v>
      </c>
      <c r="U51">
        <f>'Rotor Model (SAE)'!Y53</f>
        <v>0</v>
      </c>
      <c r="V51">
        <f>'Rotor Model (SAE)'!Z53</f>
        <v>0</v>
      </c>
      <c r="W51">
        <f>'Rotor Model (SAE)'!AA53</f>
        <v>0</v>
      </c>
      <c r="X51">
        <f>'Rotor Model (SAE)'!AB53</f>
        <v>0</v>
      </c>
    </row>
    <row r="52" spans="1:24" x14ac:dyDescent="0.25">
      <c r="A52">
        <f>'Rotor Model (SAE)'!A54</f>
        <v>49</v>
      </c>
      <c r="B52" t="str">
        <f>IF('Rotor Model (SAE)'!B54&lt;&gt;"",'Rotor Model (SAE)'!B54,"")</f>
        <v/>
      </c>
      <c r="C52">
        <f>'Rotor Model (SAE)'!C54</f>
        <v>0</v>
      </c>
      <c r="D52">
        <f>'Rotor Model (SAE)'!D54</f>
        <v>0</v>
      </c>
      <c r="E52">
        <f>'Rotor Model (SAE)'!E54</f>
        <v>0</v>
      </c>
      <c r="F52">
        <f>'Rotor Model (SAE)'!F54</f>
        <v>0</v>
      </c>
      <c r="G52">
        <f>'Rotor Model (SAE)'!G54</f>
        <v>0</v>
      </c>
      <c r="H52">
        <f>'Rotor Model (SAE)'!I54</f>
        <v>30000000</v>
      </c>
      <c r="I52">
        <f>'Rotor Model (SAE)'!J54</f>
        <v>0.3</v>
      </c>
      <c r="J52">
        <f>'Rotor Model (SAE)'!H54</f>
        <v>0.28299999999999997</v>
      </c>
      <c r="K52">
        <f>'Rotor Model (SAE)'!O54</f>
        <v>0</v>
      </c>
      <c r="L52">
        <f>'Rotor Model (SAE)'!P54</f>
        <v>0</v>
      </c>
      <c r="M52">
        <f>'Rotor Model (SAE)'!Q54</f>
        <v>0</v>
      </c>
      <c r="N52">
        <f>'Rotor Model (SAE)'!R54</f>
        <v>0</v>
      </c>
      <c r="O52">
        <f>'Rotor Model (SAE)'!S54</f>
        <v>0</v>
      </c>
      <c r="P52">
        <f>'Rotor Model (SAE)'!T54</f>
        <v>0</v>
      </c>
      <c r="Q52">
        <f>'Rotor Model (SAE)'!U54</f>
        <v>0</v>
      </c>
      <c r="R52">
        <f>'Rotor Model (SAE)'!V54</f>
        <v>0</v>
      </c>
      <c r="S52">
        <f>'Rotor Model (SAE)'!W54</f>
        <v>0</v>
      </c>
      <c r="T52">
        <f>'Rotor Model (SAE)'!X54</f>
        <v>0</v>
      </c>
      <c r="U52">
        <f>'Rotor Model (SAE)'!Y54</f>
        <v>0</v>
      </c>
      <c r="V52">
        <f>'Rotor Model (SAE)'!Z54</f>
        <v>0</v>
      </c>
      <c r="W52">
        <f>'Rotor Model (SAE)'!AA54</f>
        <v>0</v>
      </c>
      <c r="X52">
        <f>'Rotor Model (SAE)'!AB54</f>
        <v>0</v>
      </c>
    </row>
    <row r="53" spans="1:24" x14ac:dyDescent="0.25">
      <c r="A53">
        <f>'Rotor Model (SAE)'!A55</f>
        <v>50</v>
      </c>
      <c r="B53" t="str">
        <f>IF('Rotor Model (SAE)'!B55&lt;&gt;"",'Rotor Model (SAE)'!B55,"")</f>
        <v/>
      </c>
      <c r="C53">
        <f>'Rotor Model (SAE)'!C55</f>
        <v>0</v>
      </c>
      <c r="D53">
        <f>'Rotor Model (SAE)'!D55</f>
        <v>0</v>
      </c>
      <c r="E53">
        <f>'Rotor Model (SAE)'!E55</f>
        <v>0</v>
      </c>
      <c r="F53">
        <f>'Rotor Model (SAE)'!F55</f>
        <v>0</v>
      </c>
      <c r="G53">
        <f>'Rotor Model (SAE)'!G55</f>
        <v>0</v>
      </c>
      <c r="H53">
        <f>'Rotor Model (SAE)'!I55</f>
        <v>30000000</v>
      </c>
      <c r="I53">
        <f>'Rotor Model (SAE)'!J55</f>
        <v>0.3</v>
      </c>
      <c r="J53">
        <f>'Rotor Model (SAE)'!H55</f>
        <v>0.28299999999999997</v>
      </c>
      <c r="K53">
        <f>'Rotor Model (SAE)'!O55</f>
        <v>0</v>
      </c>
      <c r="L53">
        <f>'Rotor Model (SAE)'!P55</f>
        <v>0</v>
      </c>
      <c r="M53">
        <f>'Rotor Model (SAE)'!Q55</f>
        <v>0</v>
      </c>
      <c r="N53">
        <f>'Rotor Model (SAE)'!R55</f>
        <v>0</v>
      </c>
      <c r="O53">
        <f>'Rotor Model (SAE)'!S55</f>
        <v>0</v>
      </c>
      <c r="P53">
        <f>'Rotor Model (SAE)'!T55</f>
        <v>0</v>
      </c>
      <c r="Q53">
        <f>'Rotor Model (SAE)'!U55</f>
        <v>0</v>
      </c>
      <c r="R53">
        <f>'Rotor Model (SAE)'!V55</f>
        <v>0</v>
      </c>
      <c r="S53">
        <f>'Rotor Model (SAE)'!W55</f>
        <v>0</v>
      </c>
      <c r="T53">
        <f>'Rotor Model (SAE)'!X55</f>
        <v>0</v>
      </c>
      <c r="U53">
        <f>'Rotor Model (SAE)'!Y55</f>
        <v>0</v>
      </c>
      <c r="V53">
        <f>'Rotor Model (SAE)'!Z55</f>
        <v>0</v>
      </c>
      <c r="W53">
        <f>'Rotor Model (SAE)'!AA55</f>
        <v>0</v>
      </c>
      <c r="X53">
        <f>'Rotor Model (SAE)'!AB55</f>
        <v>0</v>
      </c>
    </row>
    <row r="54" spans="1:24" x14ac:dyDescent="0.25">
      <c r="A54">
        <f>'Rotor Model (SAE)'!A56</f>
        <v>51</v>
      </c>
      <c r="B54" t="str">
        <f>IF('Rotor Model (SAE)'!B56&lt;&gt;"",'Rotor Model (SAE)'!B56,"")</f>
        <v/>
      </c>
      <c r="C54">
        <f>'Rotor Model (SAE)'!C56</f>
        <v>0</v>
      </c>
      <c r="D54">
        <f>'Rotor Model (SAE)'!D56</f>
        <v>0</v>
      </c>
      <c r="E54">
        <f>'Rotor Model (SAE)'!E56</f>
        <v>0</v>
      </c>
      <c r="F54">
        <f>'Rotor Model (SAE)'!F56</f>
        <v>0</v>
      </c>
      <c r="G54">
        <f>'Rotor Model (SAE)'!G56</f>
        <v>0</v>
      </c>
      <c r="H54">
        <f>'Rotor Model (SAE)'!I56</f>
        <v>30000000</v>
      </c>
      <c r="I54">
        <f>'Rotor Model (SAE)'!J56</f>
        <v>0.3</v>
      </c>
      <c r="J54">
        <f>'Rotor Model (SAE)'!H56</f>
        <v>0.28299999999999997</v>
      </c>
      <c r="K54">
        <f>'Rotor Model (SAE)'!O56</f>
        <v>0</v>
      </c>
      <c r="L54">
        <f>'Rotor Model (SAE)'!P56</f>
        <v>0</v>
      </c>
      <c r="M54">
        <f>'Rotor Model (SAE)'!Q56</f>
        <v>0</v>
      </c>
      <c r="N54">
        <f>'Rotor Model (SAE)'!R56</f>
        <v>0</v>
      </c>
      <c r="O54">
        <f>'Rotor Model (SAE)'!S56</f>
        <v>0</v>
      </c>
      <c r="P54">
        <f>'Rotor Model (SAE)'!T56</f>
        <v>0</v>
      </c>
      <c r="Q54">
        <f>'Rotor Model (SAE)'!U56</f>
        <v>0</v>
      </c>
      <c r="R54">
        <f>'Rotor Model (SAE)'!V56</f>
        <v>0</v>
      </c>
      <c r="S54">
        <f>'Rotor Model (SAE)'!W56</f>
        <v>0</v>
      </c>
      <c r="T54">
        <f>'Rotor Model (SAE)'!X56</f>
        <v>0</v>
      </c>
      <c r="U54">
        <f>'Rotor Model (SAE)'!Y56</f>
        <v>0</v>
      </c>
      <c r="V54">
        <f>'Rotor Model (SAE)'!Z56</f>
        <v>0</v>
      </c>
      <c r="W54">
        <f>'Rotor Model (SAE)'!AA56</f>
        <v>0</v>
      </c>
      <c r="X54">
        <f>'Rotor Model (SAE)'!AB56</f>
        <v>0</v>
      </c>
    </row>
    <row r="55" spans="1:24" x14ac:dyDescent="0.25">
      <c r="A55">
        <f>'Rotor Model (SAE)'!A57</f>
        <v>52</v>
      </c>
      <c r="B55" t="str">
        <f>IF('Rotor Model (SAE)'!B57&lt;&gt;"",'Rotor Model (SAE)'!B57,"")</f>
        <v/>
      </c>
      <c r="C55">
        <f>'Rotor Model (SAE)'!C57</f>
        <v>0</v>
      </c>
      <c r="D55">
        <f>'Rotor Model (SAE)'!D57</f>
        <v>0</v>
      </c>
      <c r="E55">
        <f>'Rotor Model (SAE)'!E57</f>
        <v>0</v>
      </c>
      <c r="F55">
        <f>'Rotor Model (SAE)'!F57</f>
        <v>0</v>
      </c>
      <c r="G55">
        <f>'Rotor Model (SAE)'!G57</f>
        <v>0</v>
      </c>
      <c r="H55">
        <f>'Rotor Model (SAE)'!I57</f>
        <v>30000000</v>
      </c>
      <c r="I55">
        <f>'Rotor Model (SAE)'!J57</f>
        <v>0.3</v>
      </c>
      <c r="J55">
        <f>'Rotor Model (SAE)'!H57</f>
        <v>0.28299999999999997</v>
      </c>
      <c r="K55">
        <f>'Rotor Model (SAE)'!O57</f>
        <v>0</v>
      </c>
      <c r="L55">
        <f>'Rotor Model (SAE)'!P57</f>
        <v>0</v>
      </c>
      <c r="M55">
        <f>'Rotor Model (SAE)'!Q57</f>
        <v>0</v>
      </c>
      <c r="N55">
        <f>'Rotor Model (SAE)'!R57</f>
        <v>0</v>
      </c>
      <c r="O55">
        <f>'Rotor Model (SAE)'!S57</f>
        <v>0</v>
      </c>
      <c r="P55">
        <f>'Rotor Model (SAE)'!T57</f>
        <v>0</v>
      </c>
      <c r="Q55">
        <f>'Rotor Model (SAE)'!U57</f>
        <v>0</v>
      </c>
      <c r="R55">
        <f>'Rotor Model (SAE)'!V57</f>
        <v>0</v>
      </c>
      <c r="S55">
        <f>'Rotor Model (SAE)'!W57</f>
        <v>0</v>
      </c>
      <c r="T55">
        <f>'Rotor Model (SAE)'!X57</f>
        <v>0</v>
      </c>
      <c r="U55">
        <f>'Rotor Model (SAE)'!Y57</f>
        <v>0</v>
      </c>
      <c r="V55">
        <f>'Rotor Model (SAE)'!Z57</f>
        <v>0</v>
      </c>
      <c r="W55">
        <f>'Rotor Model (SAE)'!AA57</f>
        <v>0</v>
      </c>
      <c r="X55">
        <f>'Rotor Model (SAE)'!AB57</f>
        <v>0</v>
      </c>
    </row>
    <row r="56" spans="1:24" x14ac:dyDescent="0.25">
      <c r="A56">
        <f>'Rotor Model (SAE)'!A58</f>
        <v>53</v>
      </c>
      <c r="B56" t="str">
        <f>IF('Rotor Model (SAE)'!B58&lt;&gt;"",'Rotor Model (SAE)'!B58,"")</f>
        <v/>
      </c>
      <c r="C56">
        <f>'Rotor Model (SAE)'!C58</f>
        <v>0</v>
      </c>
      <c r="D56">
        <f>'Rotor Model (SAE)'!D58</f>
        <v>0</v>
      </c>
      <c r="E56">
        <f>'Rotor Model (SAE)'!E58</f>
        <v>0</v>
      </c>
      <c r="F56">
        <f>'Rotor Model (SAE)'!F58</f>
        <v>0</v>
      </c>
      <c r="G56">
        <f>'Rotor Model (SAE)'!G58</f>
        <v>0</v>
      </c>
      <c r="H56">
        <f>'Rotor Model (SAE)'!I58</f>
        <v>30000000</v>
      </c>
      <c r="I56">
        <f>'Rotor Model (SAE)'!J58</f>
        <v>0.3</v>
      </c>
      <c r="J56">
        <f>'Rotor Model (SAE)'!H58</f>
        <v>0.28299999999999997</v>
      </c>
      <c r="K56">
        <f>'Rotor Model (SAE)'!O58</f>
        <v>0</v>
      </c>
      <c r="L56">
        <f>'Rotor Model (SAE)'!P58</f>
        <v>0</v>
      </c>
      <c r="M56">
        <f>'Rotor Model (SAE)'!Q58</f>
        <v>0</v>
      </c>
      <c r="N56">
        <f>'Rotor Model (SAE)'!R58</f>
        <v>0</v>
      </c>
      <c r="O56">
        <f>'Rotor Model (SAE)'!S58</f>
        <v>0</v>
      </c>
      <c r="P56">
        <f>'Rotor Model (SAE)'!T58</f>
        <v>0</v>
      </c>
      <c r="Q56">
        <f>'Rotor Model (SAE)'!U58</f>
        <v>0</v>
      </c>
      <c r="R56">
        <f>'Rotor Model (SAE)'!V58</f>
        <v>0</v>
      </c>
      <c r="S56">
        <f>'Rotor Model (SAE)'!W58</f>
        <v>0</v>
      </c>
      <c r="T56">
        <f>'Rotor Model (SAE)'!X58</f>
        <v>0</v>
      </c>
      <c r="U56">
        <f>'Rotor Model (SAE)'!Y58</f>
        <v>0</v>
      </c>
      <c r="V56">
        <f>'Rotor Model (SAE)'!Z58</f>
        <v>0</v>
      </c>
      <c r="W56">
        <f>'Rotor Model (SAE)'!AA58</f>
        <v>0</v>
      </c>
      <c r="X56">
        <f>'Rotor Model (SAE)'!AB58</f>
        <v>0</v>
      </c>
    </row>
    <row r="57" spans="1:24" x14ac:dyDescent="0.25">
      <c r="A57">
        <f>'Rotor Model (SAE)'!A59</f>
        <v>54</v>
      </c>
      <c r="B57" t="str">
        <f>IF('Rotor Model (SAE)'!B59&lt;&gt;"",'Rotor Model (SAE)'!B59,"")</f>
        <v/>
      </c>
      <c r="C57">
        <f>'Rotor Model (SAE)'!C59</f>
        <v>0</v>
      </c>
      <c r="D57">
        <f>'Rotor Model (SAE)'!D59</f>
        <v>0</v>
      </c>
      <c r="E57">
        <f>'Rotor Model (SAE)'!E59</f>
        <v>0</v>
      </c>
      <c r="F57">
        <f>'Rotor Model (SAE)'!F59</f>
        <v>0</v>
      </c>
      <c r="G57">
        <f>'Rotor Model (SAE)'!G59</f>
        <v>0</v>
      </c>
      <c r="H57">
        <f>'Rotor Model (SAE)'!I59</f>
        <v>30000000</v>
      </c>
      <c r="I57">
        <f>'Rotor Model (SAE)'!J59</f>
        <v>0.3</v>
      </c>
      <c r="J57">
        <f>'Rotor Model (SAE)'!H59</f>
        <v>0.28299999999999997</v>
      </c>
      <c r="K57">
        <f>'Rotor Model (SAE)'!O59</f>
        <v>0</v>
      </c>
      <c r="L57">
        <f>'Rotor Model (SAE)'!P59</f>
        <v>0</v>
      </c>
      <c r="M57">
        <f>'Rotor Model (SAE)'!Q59</f>
        <v>0</v>
      </c>
      <c r="N57">
        <f>'Rotor Model (SAE)'!R59</f>
        <v>0</v>
      </c>
      <c r="O57">
        <f>'Rotor Model (SAE)'!S59</f>
        <v>0</v>
      </c>
      <c r="P57">
        <f>'Rotor Model (SAE)'!T59</f>
        <v>0</v>
      </c>
      <c r="Q57">
        <f>'Rotor Model (SAE)'!U59</f>
        <v>0</v>
      </c>
      <c r="R57">
        <f>'Rotor Model (SAE)'!V59</f>
        <v>0</v>
      </c>
      <c r="S57">
        <f>'Rotor Model (SAE)'!W59</f>
        <v>0</v>
      </c>
      <c r="T57">
        <f>'Rotor Model (SAE)'!X59</f>
        <v>0</v>
      </c>
      <c r="U57">
        <f>'Rotor Model (SAE)'!Y59</f>
        <v>0</v>
      </c>
      <c r="V57">
        <f>'Rotor Model (SAE)'!Z59</f>
        <v>0</v>
      </c>
      <c r="W57">
        <f>'Rotor Model (SAE)'!AA59</f>
        <v>0</v>
      </c>
      <c r="X57">
        <f>'Rotor Model (SAE)'!AB59</f>
        <v>0</v>
      </c>
    </row>
    <row r="58" spans="1:24" x14ac:dyDescent="0.25">
      <c r="A58">
        <f>'Rotor Model (SAE)'!A60</f>
        <v>55</v>
      </c>
      <c r="B58" t="str">
        <f>IF('Rotor Model (SAE)'!B60&lt;&gt;"",'Rotor Model (SAE)'!B60,"")</f>
        <v/>
      </c>
      <c r="C58">
        <f>'Rotor Model (SAE)'!C60</f>
        <v>0</v>
      </c>
      <c r="D58">
        <f>'Rotor Model (SAE)'!D60</f>
        <v>0</v>
      </c>
      <c r="E58">
        <f>'Rotor Model (SAE)'!E60</f>
        <v>0</v>
      </c>
      <c r="F58">
        <f>'Rotor Model (SAE)'!F60</f>
        <v>0</v>
      </c>
      <c r="G58">
        <f>'Rotor Model (SAE)'!G60</f>
        <v>0</v>
      </c>
      <c r="H58">
        <f>'Rotor Model (SAE)'!I60</f>
        <v>30000000</v>
      </c>
      <c r="I58">
        <f>'Rotor Model (SAE)'!J60</f>
        <v>0.3</v>
      </c>
      <c r="J58">
        <f>'Rotor Model (SAE)'!H60</f>
        <v>0.28299999999999997</v>
      </c>
      <c r="K58">
        <f>'Rotor Model (SAE)'!O60</f>
        <v>0</v>
      </c>
      <c r="L58">
        <f>'Rotor Model (SAE)'!P60</f>
        <v>0</v>
      </c>
      <c r="M58">
        <f>'Rotor Model (SAE)'!Q60</f>
        <v>0</v>
      </c>
      <c r="N58">
        <f>'Rotor Model (SAE)'!R60</f>
        <v>0</v>
      </c>
      <c r="O58">
        <f>'Rotor Model (SAE)'!S60</f>
        <v>0</v>
      </c>
      <c r="P58">
        <f>'Rotor Model (SAE)'!T60</f>
        <v>0</v>
      </c>
      <c r="Q58">
        <f>'Rotor Model (SAE)'!U60</f>
        <v>0</v>
      </c>
      <c r="R58">
        <f>'Rotor Model (SAE)'!V60</f>
        <v>0</v>
      </c>
      <c r="S58">
        <f>'Rotor Model (SAE)'!W60</f>
        <v>0</v>
      </c>
      <c r="T58">
        <f>'Rotor Model (SAE)'!X60</f>
        <v>0</v>
      </c>
      <c r="U58">
        <f>'Rotor Model (SAE)'!Y60</f>
        <v>0</v>
      </c>
      <c r="V58">
        <f>'Rotor Model (SAE)'!Z60</f>
        <v>0</v>
      </c>
      <c r="W58">
        <f>'Rotor Model (SAE)'!AA60</f>
        <v>0</v>
      </c>
      <c r="X58">
        <f>'Rotor Model (SAE)'!AB60</f>
        <v>0</v>
      </c>
    </row>
    <row r="59" spans="1:24" x14ac:dyDescent="0.25">
      <c r="A59">
        <f>'Rotor Model (SAE)'!A61</f>
        <v>56</v>
      </c>
      <c r="B59" t="str">
        <f>IF('Rotor Model (SAE)'!B61&lt;&gt;"",'Rotor Model (SAE)'!B61,"")</f>
        <v/>
      </c>
      <c r="C59">
        <f>'Rotor Model (SAE)'!C61</f>
        <v>0</v>
      </c>
      <c r="D59">
        <f>'Rotor Model (SAE)'!D61</f>
        <v>0</v>
      </c>
      <c r="E59">
        <f>'Rotor Model (SAE)'!E61</f>
        <v>0</v>
      </c>
      <c r="F59">
        <f>'Rotor Model (SAE)'!F61</f>
        <v>0</v>
      </c>
      <c r="G59">
        <f>'Rotor Model (SAE)'!G61</f>
        <v>0</v>
      </c>
      <c r="H59">
        <f>'Rotor Model (SAE)'!I61</f>
        <v>30000000</v>
      </c>
      <c r="I59">
        <f>'Rotor Model (SAE)'!J61</f>
        <v>0.3</v>
      </c>
      <c r="J59">
        <f>'Rotor Model (SAE)'!H61</f>
        <v>0.28299999999999997</v>
      </c>
      <c r="K59">
        <f>'Rotor Model (SAE)'!O61</f>
        <v>0</v>
      </c>
      <c r="L59">
        <f>'Rotor Model (SAE)'!P61</f>
        <v>0</v>
      </c>
      <c r="M59">
        <f>'Rotor Model (SAE)'!Q61</f>
        <v>0</v>
      </c>
      <c r="N59">
        <f>'Rotor Model (SAE)'!R61</f>
        <v>0</v>
      </c>
      <c r="O59">
        <f>'Rotor Model (SAE)'!S61</f>
        <v>0</v>
      </c>
      <c r="P59">
        <f>'Rotor Model (SAE)'!T61</f>
        <v>0</v>
      </c>
      <c r="Q59">
        <f>'Rotor Model (SAE)'!U61</f>
        <v>0</v>
      </c>
      <c r="R59">
        <f>'Rotor Model (SAE)'!V61</f>
        <v>0</v>
      </c>
      <c r="S59">
        <f>'Rotor Model (SAE)'!W61</f>
        <v>0</v>
      </c>
      <c r="T59">
        <f>'Rotor Model (SAE)'!X61</f>
        <v>0</v>
      </c>
      <c r="U59">
        <f>'Rotor Model (SAE)'!Y61</f>
        <v>0</v>
      </c>
      <c r="V59">
        <f>'Rotor Model (SAE)'!Z61</f>
        <v>0</v>
      </c>
      <c r="W59">
        <f>'Rotor Model (SAE)'!AA61</f>
        <v>0</v>
      </c>
      <c r="X59">
        <f>'Rotor Model (SAE)'!AB61</f>
        <v>0</v>
      </c>
    </row>
    <row r="60" spans="1:24" x14ac:dyDescent="0.25">
      <c r="A60">
        <f>'Rotor Model (SAE)'!A62</f>
        <v>57</v>
      </c>
      <c r="B60" t="str">
        <f>IF('Rotor Model (SAE)'!B62&lt;&gt;"",'Rotor Model (SAE)'!B62,"")</f>
        <v/>
      </c>
      <c r="C60">
        <f>'Rotor Model (SAE)'!C62</f>
        <v>0</v>
      </c>
      <c r="D60">
        <f>'Rotor Model (SAE)'!D62</f>
        <v>0</v>
      </c>
      <c r="E60">
        <f>'Rotor Model (SAE)'!E62</f>
        <v>0</v>
      </c>
      <c r="F60">
        <f>'Rotor Model (SAE)'!F62</f>
        <v>0</v>
      </c>
      <c r="G60">
        <f>'Rotor Model (SAE)'!G62</f>
        <v>0</v>
      </c>
      <c r="H60">
        <f>'Rotor Model (SAE)'!I62</f>
        <v>30000000</v>
      </c>
      <c r="I60">
        <f>'Rotor Model (SAE)'!J62</f>
        <v>0.3</v>
      </c>
      <c r="J60">
        <f>'Rotor Model (SAE)'!H62</f>
        <v>0.28299999999999997</v>
      </c>
      <c r="K60">
        <f>'Rotor Model (SAE)'!O62</f>
        <v>0</v>
      </c>
      <c r="L60">
        <f>'Rotor Model (SAE)'!P62</f>
        <v>0</v>
      </c>
      <c r="M60">
        <f>'Rotor Model (SAE)'!Q62</f>
        <v>0</v>
      </c>
      <c r="N60">
        <f>'Rotor Model (SAE)'!R62</f>
        <v>0</v>
      </c>
      <c r="O60">
        <f>'Rotor Model (SAE)'!S62</f>
        <v>0</v>
      </c>
      <c r="P60">
        <f>'Rotor Model (SAE)'!T62</f>
        <v>0</v>
      </c>
      <c r="Q60">
        <f>'Rotor Model (SAE)'!U62</f>
        <v>0</v>
      </c>
      <c r="R60">
        <f>'Rotor Model (SAE)'!V62</f>
        <v>0</v>
      </c>
      <c r="S60">
        <f>'Rotor Model (SAE)'!W62</f>
        <v>0</v>
      </c>
      <c r="T60">
        <f>'Rotor Model (SAE)'!X62</f>
        <v>0</v>
      </c>
      <c r="U60">
        <f>'Rotor Model (SAE)'!Y62</f>
        <v>0</v>
      </c>
      <c r="V60">
        <f>'Rotor Model (SAE)'!Z62</f>
        <v>0</v>
      </c>
      <c r="W60">
        <f>'Rotor Model (SAE)'!AA62</f>
        <v>0</v>
      </c>
      <c r="X60">
        <f>'Rotor Model (SAE)'!AB62</f>
        <v>0</v>
      </c>
    </row>
    <row r="61" spans="1:24" x14ac:dyDescent="0.25">
      <c r="A61">
        <f>'Rotor Model (SAE)'!A63</f>
        <v>58</v>
      </c>
      <c r="B61" t="str">
        <f>IF('Rotor Model (SAE)'!B63&lt;&gt;"",'Rotor Model (SAE)'!B63,"")</f>
        <v/>
      </c>
      <c r="C61">
        <f>'Rotor Model (SAE)'!C63</f>
        <v>0</v>
      </c>
      <c r="D61">
        <f>'Rotor Model (SAE)'!D63</f>
        <v>0</v>
      </c>
      <c r="E61">
        <f>'Rotor Model (SAE)'!E63</f>
        <v>0</v>
      </c>
      <c r="F61">
        <f>'Rotor Model (SAE)'!F63</f>
        <v>0</v>
      </c>
      <c r="G61">
        <f>'Rotor Model (SAE)'!G63</f>
        <v>0</v>
      </c>
      <c r="H61">
        <f>'Rotor Model (SAE)'!I63</f>
        <v>30000000</v>
      </c>
      <c r="I61">
        <f>'Rotor Model (SAE)'!J63</f>
        <v>0.3</v>
      </c>
      <c r="J61">
        <f>'Rotor Model (SAE)'!H63</f>
        <v>0.28299999999999997</v>
      </c>
      <c r="K61">
        <f>'Rotor Model (SAE)'!O63</f>
        <v>0</v>
      </c>
      <c r="L61">
        <f>'Rotor Model (SAE)'!P63</f>
        <v>0</v>
      </c>
      <c r="M61">
        <f>'Rotor Model (SAE)'!Q63</f>
        <v>0</v>
      </c>
      <c r="N61">
        <f>'Rotor Model (SAE)'!R63</f>
        <v>0</v>
      </c>
      <c r="O61">
        <f>'Rotor Model (SAE)'!S63</f>
        <v>0</v>
      </c>
      <c r="P61">
        <f>'Rotor Model (SAE)'!T63</f>
        <v>0</v>
      </c>
      <c r="Q61">
        <f>'Rotor Model (SAE)'!U63</f>
        <v>0</v>
      </c>
      <c r="R61">
        <f>'Rotor Model (SAE)'!V63</f>
        <v>0</v>
      </c>
      <c r="S61">
        <f>'Rotor Model (SAE)'!W63</f>
        <v>0</v>
      </c>
      <c r="T61">
        <f>'Rotor Model (SAE)'!X63</f>
        <v>0</v>
      </c>
      <c r="U61">
        <f>'Rotor Model (SAE)'!Y63</f>
        <v>0</v>
      </c>
      <c r="V61">
        <f>'Rotor Model (SAE)'!Z63</f>
        <v>0</v>
      </c>
      <c r="W61">
        <f>'Rotor Model (SAE)'!AA63</f>
        <v>0</v>
      </c>
      <c r="X61">
        <f>'Rotor Model (SAE)'!AB63</f>
        <v>0</v>
      </c>
    </row>
    <row r="62" spans="1:24" x14ac:dyDescent="0.25">
      <c r="A62">
        <f>'Rotor Model (SAE)'!A64</f>
        <v>59</v>
      </c>
      <c r="B62" t="str">
        <f>IF('Rotor Model (SAE)'!B64&lt;&gt;"",'Rotor Model (SAE)'!B64,"")</f>
        <v/>
      </c>
      <c r="C62">
        <f>'Rotor Model (SAE)'!C64</f>
        <v>0</v>
      </c>
      <c r="D62">
        <f>'Rotor Model (SAE)'!D64</f>
        <v>0</v>
      </c>
      <c r="E62">
        <f>'Rotor Model (SAE)'!E64</f>
        <v>0</v>
      </c>
      <c r="F62">
        <f>'Rotor Model (SAE)'!F64</f>
        <v>0</v>
      </c>
      <c r="G62">
        <f>'Rotor Model (SAE)'!G64</f>
        <v>0</v>
      </c>
      <c r="H62">
        <f>'Rotor Model (SAE)'!I64</f>
        <v>30000000</v>
      </c>
      <c r="I62">
        <f>'Rotor Model (SAE)'!J64</f>
        <v>0.3</v>
      </c>
      <c r="J62">
        <f>'Rotor Model (SAE)'!H64</f>
        <v>0.28299999999999997</v>
      </c>
      <c r="K62">
        <f>'Rotor Model (SAE)'!O64</f>
        <v>0</v>
      </c>
      <c r="L62">
        <f>'Rotor Model (SAE)'!P64</f>
        <v>0</v>
      </c>
      <c r="M62">
        <f>'Rotor Model (SAE)'!Q64</f>
        <v>0</v>
      </c>
      <c r="N62">
        <f>'Rotor Model (SAE)'!R64</f>
        <v>0</v>
      </c>
      <c r="O62">
        <f>'Rotor Model (SAE)'!S64</f>
        <v>0</v>
      </c>
      <c r="P62">
        <f>'Rotor Model (SAE)'!T64</f>
        <v>0</v>
      </c>
      <c r="Q62">
        <f>'Rotor Model (SAE)'!U64</f>
        <v>0</v>
      </c>
      <c r="R62">
        <f>'Rotor Model (SAE)'!V64</f>
        <v>0</v>
      </c>
      <c r="S62">
        <f>'Rotor Model (SAE)'!W64</f>
        <v>0</v>
      </c>
      <c r="T62">
        <f>'Rotor Model (SAE)'!X64</f>
        <v>0</v>
      </c>
      <c r="U62">
        <f>'Rotor Model (SAE)'!Y64</f>
        <v>0</v>
      </c>
      <c r="V62">
        <f>'Rotor Model (SAE)'!Z64</f>
        <v>0</v>
      </c>
      <c r="W62">
        <f>'Rotor Model (SAE)'!AA64</f>
        <v>0</v>
      </c>
      <c r="X62">
        <f>'Rotor Model (SAE)'!AB64</f>
        <v>0</v>
      </c>
    </row>
    <row r="63" spans="1:24" x14ac:dyDescent="0.25">
      <c r="A63">
        <f>'Rotor Model (SAE)'!A65</f>
        <v>60</v>
      </c>
      <c r="B63" t="str">
        <f>IF('Rotor Model (SAE)'!B65&lt;&gt;"",'Rotor Model (SAE)'!B65,"")</f>
        <v/>
      </c>
      <c r="C63">
        <f>'Rotor Model (SAE)'!C65</f>
        <v>0</v>
      </c>
      <c r="D63">
        <f>'Rotor Model (SAE)'!D65</f>
        <v>0</v>
      </c>
      <c r="E63">
        <f>'Rotor Model (SAE)'!E65</f>
        <v>0</v>
      </c>
      <c r="F63">
        <f>'Rotor Model (SAE)'!F65</f>
        <v>0</v>
      </c>
      <c r="G63">
        <f>'Rotor Model (SAE)'!G65</f>
        <v>0</v>
      </c>
      <c r="H63">
        <f>'Rotor Model (SAE)'!I65</f>
        <v>30000000</v>
      </c>
      <c r="I63">
        <f>'Rotor Model (SAE)'!J65</f>
        <v>0.3</v>
      </c>
      <c r="J63">
        <f>'Rotor Model (SAE)'!H65</f>
        <v>0.28299999999999997</v>
      </c>
      <c r="K63">
        <f>'Rotor Model (SAE)'!O65</f>
        <v>0</v>
      </c>
      <c r="L63">
        <f>'Rotor Model (SAE)'!P65</f>
        <v>0</v>
      </c>
      <c r="M63">
        <f>'Rotor Model (SAE)'!Q65</f>
        <v>0</v>
      </c>
      <c r="N63">
        <f>'Rotor Model (SAE)'!R65</f>
        <v>0</v>
      </c>
      <c r="O63">
        <f>'Rotor Model (SAE)'!S65</f>
        <v>0</v>
      </c>
      <c r="P63">
        <f>'Rotor Model (SAE)'!T65</f>
        <v>0</v>
      </c>
      <c r="Q63">
        <f>'Rotor Model (SAE)'!U65</f>
        <v>0</v>
      </c>
      <c r="R63">
        <f>'Rotor Model (SAE)'!V65</f>
        <v>0</v>
      </c>
      <c r="S63">
        <f>'Rotor Model (SAE)'!W65</f>
        <v>0</v>
      </c>
      <c r="T63">
        <f>'Rotor Model (SAE)'!X65</f>
        <v>0</v>
      </c>
      <c r="U63">
        <f>'Rotor Model (SAE)'!Y65</f>
        <v>0</v>
      </c>
      <c r="V63">
        <f>'Rotor Model (SAE)'!Z65</f>
        <v>0</v>
      </c>
      <c r="W63">
        <f>'Rotor Model (SAE)'!AA65</f>
        <v>0</v>
      </c>
      <c r="X63">
        <f>'Rotor Model (SAE)'!AB65</f>
        <v>0</v>
      </c>
    </row>
    <row r="64" spans="1:24" x14ac:dyDescent="0.25">
      <c r="A64">
        <f>'Rotor Model (SAE)'!A66</f>
        <v>61</v>
      </c>
      <c r="B64" t="str">
        <f>IF('Rotor Model (SAE)'!B66&lt;&gt;"",'Rotor Model (SAE)'!B66,"")</f>
        <v/>
      </c>
      <c r="C64">
        <f>'Rotor Model (SAE)'!C66</f>
        <v>0</v>
      </c>
      <c r="D64">
        <f>'Rotor Model (SAE)'!D66</f>
        <v>0</v>
      </c>
      <c r="E64">
        <f>'Rotor Model (SAE)'!E66</f>
        <v>0</v>
      </c>
      <c r="F64">
        <f>'Rotor Model (SAE)'!F66</f>
        <v>0</v>
      </c>
      <c r="G64">
        <f>'Rotor Model (SAE)'!G66</f>
        <v>0</v>
      </c>
      <c r="H64">
        <f>'Rotor Model (SAE)'!I66</f>
        <v>30000000</v>
      </c>
      <c r="I64">
        <f>'Rotor Model (SAE)'!J66</f>
        <v>0.3</v>
      </c>
      <c r="J64">
        <f>'Rotor Model (SAE)'!H66</f>
        <v>0.28299999999999997</v>
      </c>
      <c r="K64">
        <f>'Rotor Model (SAE)'!O66</f>
        <v>0</v>
      </c>
      <c r="L64">
        <f>'Rotor Model (SAE)'!P66</f>
        <v>0</v>
      </c>
      <c r="M64">
        <f>'Rotor Model (SAE)'!Q66</f>
        <v>0</v>
      </c>
      <c r="N64">
        <f>'Rotor Model (SAE)'!R66</f>
        <v>0</v>
      </c>
      <c r="O64">
        <f>'Rotor Model (SAE)'!S66</f>
        <v>0</v>
      </c>
      <c r="P64">
        <f>'Rotor Model (SAE)'!T66</f>
        <v>0</v>
      </c>
      <c r="Q64">
        <f>'Rotor Model (SAE)'!U66</f>
        <v>0</v>
      </c>
      <c r="R64">
        <f>'Rotor Model (SAE)'!V66</f>
        <v>0</v>
      </c>
      <c r="S64">
        <f>'Rotor Model (SAE)'!W66</f>
        <v>0</v>
      </c>
      <c r="T64">
        <f>'Rotor Model (SAE)'!X66</f>
        <v>0</v>
      </c>
      <c r="U64">
        <f>'Rotor Model (SAE)'!Y66</f>
        <v>0</v>
      </c>
      <c r="V64">
        <f>'Rotor Model (SAE)'!Z66</f>
        <v>0</v>
      </c>
      <c r="W64">
        <f>'Rotor Model (SAE)'!AA66</f>
        <v>0</v>
      </c>
      <c r="X64">
        <f>'Rotor Model (SAE)'!AB66</f>
        <v>0</v>
      </c>
    </row>
    <row r="65" spans="1:24" x14ac:dyDescent="0.25">
      <c r="A65">
        <f>'Rotor Model (SAE)'!A67</f>
        <v>62</v>
      </c>
      <c r="B65" t="str">
        <f>IF('Rotor Model (SAE)'!B67&lt;&gt;"",'Rotor Model (SAE)'!B67,"")</f>
        <v/>
      </c>
      <c r="C65">
        <f>'Rotor Model (SAE)'!C67</f>
        <v>0</v>
      </c>
      <c r="D65">
        <f>'Rotor Model (SAE)'!D67</f>
        <v>0</v>
      </c>
      <c r="E65">
        <f>'Rotor Model (SAE)'!E67</f>
        <v>0</v>
      </c>
      <c r="F65">
        <f>'Rotor Model (SAE)'!F67</f>
        <v>0</v>
      </c>
      <c r="G65">
        <f>'Rotor Model (SAE)'!G67</f>
        <v>0</v>
      </c>
      <c r="H65">
        <f>'Rotor Model (SAE)'!I67</f>
        <v>30000000</v>
      </c>
      <c r="I65">
        <f>'Rotor Model (SAE)'!J67</f>
        <v>0.3</v>
      </c>
      <c r="J65">
        <f>'Rotor Model (SAE)'!H67</f>
        <v>0.28299999999999997</v>
      </c>
      <c r="K65">
        <f>'Rotor Model (SAE)'!O67</f>
        <v>0</v>
      </c>
      <c r="L65">
        <f>'Rotor Model (SAE)'!P67</f>
        <v>0</v>
      </c>
      <c r="M65">
        <f>'Rotor Model (SAE)'!Q67</f>
        <v>0</v>
      </c>
      <c r="N65">
        <f>'Rotor Model (SAE)'!R67</f>
        <v>0</v>
      </c>
      <c r="O65">
        <f>'Rotor Model (SAE)'!S67</f>
        <v>0</v>
      </c>
      <c r="P65">
        <f>'Rotor Model (SAE)'!T67</f>
        <v>0</v>
      </c>
      <c r="Q65">
        <f>'Rotor Model (SAE)'!U67</f>
        <v>0</v>
      </c>
      <c r="R65">
        <f>'Rotor Model (SAE)'!V67</f>
        <v>0</v>
      </c>
      <c r="S65">
        <f>'Rotor Model (SAE)'!W67</f>
        <v>0</v>
      </c>
      <c r="T65">
        <f>'Rotor Model (SAE)'!X67</f>
        <v>0</v>
      </c>
      <c r="U65">
        <f>'Rotor Model (SAE)'!Y67</f>
        <v>0</v>
      </c>
      <c r="V65">
        <f>'Rotor Model (SAE)'!Z67</f>
        <v>0</v>
      </c>
      <c r="W65">
        <f>'Rotor Model (SAE)'!AA67</f>
        <v>0</v>
      </c>
      <c r="X65">
        <f>'Rotor Model (SAE)'!AB67</f>
        <v>0</v>
      </c>
    </row>
    <row r="66" spans="1:24" x14ac:dyDescent="0.25">
      <c r="A66">
        <f>'Rotor Model (SAE)'!A68</f>
        <v>63</v>
      </c>
      <c r="B66" t="str">
        <f>IF('Rotor Model (SAE)'!B68&lt;&gt;"",'Rotor Model (SAE)'!B68,"")</f>
        <v/>
      </c>
      <c r="C66">
        <f>'Rotor Model (SAE)'!C68</f>
        <v>0</v>
      </c>
      <c r="D66">
        <f>'Rotor Model (SAE)'!D68</f>
        <v>0</v>
      </c>
      <c r="E66">
        <f>'Rotor Model (SAE)'!E68</f>
        <v>0</v>
      </c>
      <c r="F66">
        <f>'Rotor Model (SAE)'!F68</f>
        <v>0</v>
      </c>
      <c r="G66">
        <f>'Rotor Model (SAE)'!G68</f>
        <v>0</v>
      </c>
      <c r="H66">
        <f>'Rotor Model (SAE)'!I68</f>
        <v>30000000</v>
      </c>
      <c r="I66">
        <f>'Rotor Model (SAE)'!J68</f>
        <v>0.3</v>
      </c>
      <c r="J66">
        <f>'Rotor Model (SAE)'!H68</f>
        <v>0.28299999999999997</v>
      </c>
      <c r="K66">
        <f>'Rotor Model (SAE)'!O68</f>
        <v>0</v>
      </c>
      <c r="L66">
        <f>'Rotor Model (SAE)'!P68</f>
        <v>0</v>
      </c>
      <c r="M66">
        <f>'Rotor Model (SAE)'!Q68</f>
        <v>0</v>
      </c>
      <c r="N66">
        <f>'Rotor Model (SAE)'!R68</f>
        <v>0</v>
      </c>
      <c r="O66">
        <f>'Rotor Model (SAE)'!S68</f>
        <v>0</v>
      </c>
      <c r="P66">
        <f>'Rotor Model (SAE)'!T68</f>
        <v>0</v>
      </c>
      <c r="Q66">
        <f>'Rotor Model (SAE)'!U68</f>
        <v>0</v>
      </c>
      <c r="R66">
        <f>'Rotor Model (SAE)'!V68</f>
        <v>0</v>
      </c>
      <c r="S66">
        <f>'Rotor Model (SAE)'!W68</f>
        <v>0</v>
      </c>
      <c r="T66">
        <f>'Rotor Model (SAE)'!X68</f>
        <v>0</v>
      </c>
      <c r="U66">
        <f>'Rotor Model (SAE)'!Y68</f>
        <v>0</v>
      </c>
      <c r="V66">
        <f>'Rotor Model (SAE)'!Z68</f>
        <v>0</v>
      </c>
      <c r="W66">
        <f>'Rotor Model (SAE)'!AA68</f>
        <v>0</v>
      </c>
      <c r="X66">
        <f>'Rotor Model (SAE)'!AB68</f>
        <v>0</v>
      </c>
    </row>
    <row r="67" spans="1:24" x14ac:dyDescent="0.25">
      <c r="A67">
        <f>'Rotor Model (SAE)'!A69</f>
        <v>64</v>
      </c>
      <c r="B67" t="str">
        <f>IF('Rotor Model (SAE)'!B69&lt;&gt;"",'Rotor Model (SAE)'!B69,"")</f>
        <v/>
      </c>
      <c r="C67">
        <f>'Rotor Model (SAE)'!C69</f>
        <v>0</v>
      </c>
      <c r="D67">
        <f>'Rotor Model (SAE)'!D69</f>
        <v>0</v>
      </c>
      <c r="E67">
        <f>'Rotor Model (SAE)'!E69</f>
        <v>0</v>
      </c>
      <c r="F67">
        <f>'Rotor Model (SAE)'!F69</f>
        <v>0</v>
      </c>
      <c r="G67">
        <f>'Rotor Model (SAE)'!G69</f>
        <v>0</v>
      </c>
      <c r="H67">
        <f>'Rotor Model (SAE)'!I69</f>
        <v>30000000</v>
      </c>
      <c r="I67">
        <f>'Rotor Model (SAE)'!J69</f>
        <v>0.3</v>
      </c>
      <c r="J67">
        <f>'Rotor Model (SAE)'!H69</f>
        <v>0.28299999999999997</v>
      </c>
      <c r="K67">
        <f>'Rotor Model (SAE)'!O69</f>
        <v>0</v>
      </c>
      <c r="L67">
        <f>'Rotor Model (SAE)'!P69</f>
        <v>0</v>
      </c>
      <c r="M67">
        <f>'Rotor Model (SAE)'!Q69</f>
        <v>0</v>
      </c>
      <c r="N67">
        <f>'Rotor Model (SAE)'!R69</f>
        <v>0</v>
      </c>
      <c r="O67">
        <f>'Rotor Model (SAE)'!S69</f>
        <v>0</v>
      </c>
      <c r="P67">
        <f>'Rotor Model (SAE)'!T69</f>
        <v>0</v>
      </c>
      <c r="Q67">
        <f>'Rotor Model (SAE)'!U69</f>
        <v>0</v>
      </c>
      <c r="R67">
        <f>'Rotor Model (SAE)'!V69</f>
        <v>0</v>
      </c>
      <c r="S67">
        <f>'Rotor Model (SAE)'!W69</f>
        <v>0</v>
      </c>
      <c r="T67">
        <f>'Rotor Model (SAE)'!X69</f>
        <v>0</v>
      </c>
      <c r="U67">
        <f>'Rotor Model (SAE)'!Y69</f>
        <v>0</v>
      </c>
      <c r="V67">
        <f>'Rotor Model (SAE)'!Z69</f>
        <v>0</v>
      </c>
      <c r="W67">
        <f>'Rotor Model (SAE)'!AA69</f>
        <v>0</v>
      </c>
      <c r="X67">
        <f>'Rotor Model (SAE)'!AB69</f>
        <v>0</v>
      </c>
    </row>
    <row r="68" spans="1:24" x14ac:dyDescent="0.25">
      <c r="A68">
        <f>'Rotor Model (SAE)'!A70</f>
        <v>65</v>
      </c>
      <c r="B68" t="str">
        <f>IF('Rotor Model (SAE)'!B70&lt;&gt;"",'Rotor Model (SAE)'!B70,"")</f>
        <v/>
      </c>
      <c r="C68">
        <f>'Rotor Model (SAE)'!C70</f>
        <v>0</v>
      </c>
      <c r="D68">
        <f>'Rotor Model (SAE)'!D70</f>
        <v>0</v>
      </c>
      <c r="E68">
        <f>'Rotor Model (SAE)'!E70</f>
        <v>0</v>
      </c>
      <c r="F68">
        <f>'Rotor Model (SAE)'!F70</f>
        <v>0</v>
      </c>
      <c r="G68">
        <f>'Rotor Model (SAE)'!G70</f>
        <v>0</v>
      </c>
      <c r="H68">
        <f>'Rotor Model (SAE)'!I70</f>
        <v>30000000</v>
      </c>
      <c r="I68">
        <f>'Rotor Model (SAE)'!J70</f>
        <v>0.3</v>
      </c>
      <c r="J68">
        <f>'Rotor Model (SAE)'!H70</f>
        <v>0.28299999999999997</v>
      </c>
      <c r="K68">
        <f>'Rotor Model (SAE)'!O70</f>
        <v>0</v>
      </c>
      <c r="L68">
        <f>'Rotor Model (SAE)'!P70</f>
        <v>0</v>
      </c>
      <c r="M68">
        <f>'Rotor Model (SAE)'!Q70</f>
        <v>0</v>
      </c>
      <c r="N68">
        <f>'Rotor Model (SAE)'!R70</f>
        <v>0</v>
      </c>
      <c r="O68">
        <f>'Rotor Model (SAE)'!S70</f>
        <v>0</v>
      </c>
      <c r="P68">
        <f>'Rotor Model (SAE)'!T70</f>
        <v>0</v>
      </c>
      <c r="Q68">
        <f>'Rotor Model (SAE)'!U70</f>
        <v>0</v>
      </c>
      <c r="R68">
        <f>'Rotor Model (SAE)'!V70</f>
        <v>0</v>
      </c>
      <c r="S68">
        <f>'Rotor Model (SAE)'!W70</f>
        <v>0</v>
      </c>
      <c r="T68">
        <f>'Rotor Model (SAE)'!X70</f>
        <v>0</v>
      </c>
      <c r="U68">
        <f>'Rotor Model (SAE)'!Y70</f>
        <v>0</v>
      </c>
      <c r="V68">
        <f>'Rotor Model (SAE)'!Z70</f>
        <v>0</v>
      </c>
      <c r="W68">
        <f>'Rotor Model (SAE)'!AA70</f>
        <v>0</v>
      </c>
      <c r="X68">
        <f>'Rotor Model (SAE)'!AB70</f>
        <v>0</v>
      </c>
    </row>
    <row r="69" spans="1:24" x14ac:dyDescent="0.25">
      <c r="A69">
        <f>'Rotor Model (SAE)'!A71</f>
        <v>66</v>
      </c>
      <c r="B69" t="str">
        <f>IF('Rotor Model (SAE)'!B71&lt;&gt;"",'Rotor Model (SAE)'!B71,"")</f>
        <v/>
      </c>
      <c r="C69">
        <f>'Rotor Model (SAE)'!C71</f>
        <v>0</v>
      </c>
      <c r="D69">
        <f>'Rotor Model (SAE)'!D71</f>
        <v>0</v>
      </c>
      <c r="E69">
        <f>'Rotor Model (SAE)'!E71</f>
        <v>0</v>
      </c>
      <c r="F69">
        <f>'Rotor Model (SAE)'!F71</f>
        <v>0</v>
      </c>
      <c r="G69">
        <f>'Rotor Model (SAE)'!G71</f>
        <v>0</v>
      </c>
      <c r="H69">
        <f>'Rotor Model (SAE)'!I71</f>
        <v>30000000</v>
      </c>
      <c r="I69">
        <f>'Rotor Model (SAE)'!J71</f>
        <v>0.3</v>
      </c>
      <c r="J69">
        <f>'Rotor Model (SAE)'!H71</f>
        <v>0.28299999999999997</v>
      </c>
      <c r="K69">
        <f>'Rotor Model (SAE)'!O71</f>
        <v>0</v>
      </c>
      <c r="L69">
        <f>'Rotor Model (SAE)'!P71</f>
        <v>0</v>
      </c>
      <c r="M69">
        <f>'Rotor Model (SAE)'!Q71</f>
        <v>0</v>
      </c>
      <c r="N69">
        <f>'Rotor Model (SAE)'!R71</f>
        <v>0</v>
      </c>
      <c r="O69">
        <f>'Rotor Model (SAE)'!S71</f>
        <v>0</v>
      </c>
      <c r="P69">
        <f>'Rotor Model (SAE)'!T71</f>
        <v>0</v>
      </c>
      <c r="Q69">
        <f>'Rotor Model (SAE)'!U71</f>
        <v>0</v>
      </c>
      <c r="R69">
        <f>'Rotor Model (SAE)'!V71</f>
        <v>0</v>
      </c>
      <c r="S69">
        <f>'Rotor Model (SAE)'!W71</f>
        <v>0</v>
      </c>
      <c r="T69">
        <f>'Rotor Model (SAE)'!X71</f>
        <v>0</v>
      </c>
      <c r="U69">
        <f>'Rotor Model (SAE)'!Y71</f>
        <v>0</v>
      </c>
      <c r="V69">
        <f>'Rotor Model (SAE)'!Z71</f>
        <v>0</v>
      </c>
      <c r="W69">
        <f>'Rotor Model (SAE)'!AA71</f>
        <v>0</v>
      </c>
      <c r="X69">
        <f>'Rotor Model (SAE)'!AB71</f>
        <v>0</v>
      </c>
    </row>
    <row r="70" spans="1:24" x14ac:dyDescent="0.25">
      <c r="A70">
        <f>'Rotor Model (SAE)'!A72</f>
        <v>67</v>
      </c>
      <c r="B70" t="str">
        <f>IF('Rotor Model (SAE)'!B72&lt;&gt;"",'Rotor Model (SAE)'!B72,"")</f>
        <v/>
      </c>
      <c r="C70">
        <f>'Rotor Model (SAE)'!C72</f>
        <v>0</v>
      </c>
      <c r="D70">
        <f>'Rotor Model (SAE)'!D72</f>
        <v>0</v>
      </c>
      <c r="E70">
        <f>'Rotor Model (SAE)'!E72</f>
        <v>0</v>
      </c>
      <c r="F70">
        <f>'Rotor Model (SAE)'!F72</f>
        <v>0</v>
      </c>
      <c r="G70">
        <f>'Rotor Model (SAE)'!G72</f>
        <v>0</v>
      </c>
      <c r="H70">
        <f>'Rotor Model (SAE)'!I72</f>
        <v>30000000</v>
      </c>
      <c r="I70">
        <f>'Rotor Model (SAE)'!J72</f>
        <v>0.3</v>
      </c>
      <c r="J70">
        <f>'Rotor Model (SAE)'!H72</f>
        <v>0.28299999999999997</v>
      </c>
      <c r="K70">
        <f>'Rotor Model (SAE)'!O72</f>
        <v>0</v>
      </c>
      <c r="L70">
        <f>'Rotor Model (SAE)'!P72</f>
        <v>0</v>
      </c>
      <c r="M70">
        <f>'Rotor Model (SAE)'!Q72</f>
        <v>0</v>
      </c>
      <c r="N70">
        <f>'Rotor Model (SAE)'!R72</f>
        <v>0</v>
      </c>
      <c r="O70">
        <f>'Rotor Model (SAE)'!S72</f>
        <v>0</v>
      </c>
      <c r="P70">
        <f>'Rotor Model (SAE)'!T72</f>
        <v>0</v>
      </c>
      <c r="Q70">
        <f>'Rotor Model (SAE)'!U72</f>
        <v>0</v>
      </c>
      <c r="R70">
        <f>'Rotor Model (SAE)'!V72</f>
        <v>0</v>
      </c>
      <c r="S70">
        <f>'Rotor Model (SAE)'!W72</f>
        <v>0</v>
      </c>
      <c r="T70">
        <f>'Rotor Model (SAE)'!X72</f>
        <v>0</v>
      </c>
      <c r="U70">
        <f>'Rotor Model (SAE)'!Y72</f>
        <v>0</v>
      </c>
      <c r="V70">
        <f>'Rotor Model (SAE)'!Z72</f>
        <v>0</v>
      </c>
      <c r="W70">
        <f>'Rotor Model (SAE)'!AA72</f>
        <v>0</v>
      </c>
      <c r="X70">
        <f>'Rotor Model (SAE)'!AB72</f>
        <v>0</v>
      </c>
    </row>
    <row r="71" spans="1:24" x14ac:dyDescent="0.25">
      <c r="A71">
        <f>'Rotor Model (SAE)'!A73</f>
        <v>68</v>
      </c>
      <c r="B71" t="str">
        <f>IF('Rotor Model (SAE)'!B73&lt;&gt;"",'Rotor Model (SAE)'!B73,"")</f>
        <v/>
      </c>
      <c r="C71">
        <f>'Rotor Model (SAE)'!C73</f>
        <v>0</v>
      </c>
      <c r="D71">
        <f>'Rotor Model (SAE)'!D73</f>
        <v>0</v>
      </c>
      <c r="E71">
        <f>'Rotor Model (SAE)'!E73</f>
        <v>0</v>
      </c>
      <c r="F71">
        <f>'Rotor Model (SAE)'!F73</f>
        <v>0</v>
      </c>
      <c r="G71">
        <f>'Rotor Model (SAE)'!G73</f>
        <v>0</v>
      </c>
      <c r="H71">
        <f>'Rotor Model (SAE)'!I73</f>
        <v>30000000</v>
      </c>
      <c r="I71">
        <f>'Rotor Model (SAE)'!J73</f>
        <v>0.3</v>
      </c>
      <c r="J71">
        <f>'Rotor Model (SAE)'!H73</f>
        <v>0.28299999999999997</v>
      </c>
      <c r="K71">
        <f>'Rotor Model (SAE)'!O73</f>
        <v>0</v>
      </c>
      <c r="L71">
        <f>'Rotor Model (SAE)'!P73</f>
        <v>0</v>
      </c>
      <c r="M71">
        <f>'Rotor Model (SAE)'!Q73</f>
        <v>0</v>
      </c>
      <c r="N71">
        <f>'Rotor Model (SAE)'!R73</f>
        <v>0</v>
      </c>
      <c r="O71">
        <f>'Rotor Model (SAE)'!S73</f>
        <v>0</v>
      </c>
      <c r="P71">
        <f>'Rotor Model (SAE)'!T73</f>
        <v>0</v>
      </c>
      <c r="Q71">
        <f>'Rotor Model (SAE)'!U73</f>
        <v>0</v>
      </c>
      <c r="R71">
        <f>'Rotor Model (SAE)'!V73</f>
        <v>0</v>
      </c>
      <c r="S71">
        <f>'Rotor Model (SAE)'!W73</f>
        <v>0</v>
      </c>
      <c r="T71">
        <f>'Rotor Model (SAE)'!X73</f>
        <v>0</v>
      </c>
      <c r="U71">
        <f>'Rotor Model (SAE)'!Y73</f>
        <v>0</v>
      </c>
      <c r="V71">
        <f>'Rotor Model (SAE)'!Z73</f>
        <v>0</v>
      </c>
      <c r="W71">
        <f>'Rotor Model (SAE)'!AA73</f>
        <v>0</v>
      </c>
      <c r="X71">
        <f>'Rotor Model (SAE)'!AB73</f>
        <v>0</v>
      </c>
    </row>
    <row r="72" spans="1:24" x14ac:dyDescent="0.25">
      <c r="A72">
        <f>'Rotor Model (SAE)'!A74</f>
        <v>69</v>
      </c>
      <c r="B72" t="str">
        <f>IF('Rotor Model (SAE)'!B74&lt;&gt;"",'Rotor Model (SAE)'!B74,"")</f>
        <v/>
      </c>
      <c r="C72">
        <f>'Rotor Model (SAE)'!C74</f>
        <v>0</v>
      </c>
      <c r="D72">
        <f>'Rotor Model (SAE)'!D74</f>
        <v>0</v>
      </c>
      <c r="E72">
        <f>'Rotor Model (SAE)'!E74</f>
        <v>0</v>
      </c>
      <c r="F72">
        <f>'Rotor Model (SAE)'!F74</f>
        <v>0</v>
      </c>
      <c r="G72">
        <f>'Rotor Model (SAE)'!G74</f>
        <v>0</v>
      </c>
      <c r="H72">
        <f>'Rotor Model (SAE)'!I74</f>
        <v>30000000</v>
      </c>
      <c r="I72">
        <f>'Rotor Model (SAE)'!J74</f>
        <v>0.3</v>
      </c>
      <c r="J72">
        <f>'Rotor Model (SAE)'!H74</f>
        <v>0.28299999999999997</v>
      </c>
      <c r="K72">
        <f>'Rotor Model (SAE)'!O74</f>
        <v>0</v>
      </c>
      <c r="L72">
        <f>'Rotor Model (SAE)'!P74</f>
        <v>0</v>
      </c>
      <c r="M72">
        <f>'Rotor Model (SAE)'!Q74</f>
        <v>0</v>
      </c>
      <c r="N72">
        <f>'Rotor Model (SAE)'!R74</f>
        <v>0</v>
      </c>
      <c r="O72">
        <f>'Rotor Model (SAE)'!S74</f>
        <v>0</v>
      </c>
      <c r="P72">
        <f>'Rotor Model (SAE)'!T74</f>
        <v>0</v>
      </c>
      <c r="Q72">
        <f>'Rotor Model (SAE)'!U74</f>
        <v>0</v>
      </c>
      <c r="R72">
        <f>'Rotor Model (SAE)'!V74</f>
        <v>0</v>
      </c>
      <c r="S72">
        <f>'Rotor Model (SAE)'!W74</f>
        <v>0</v>
      </c>
      <c r="T72">
        <f>'Rotor Model (SAE)'!X74</f>
        <v>0</v>
      </c>
      <c r="U72">
        <f>'Rotor Model (SAE)'!Y74</f>
        <v>0</v>
      </c>
      <c r="V72">
        <f>'Rotor Model (SAE)'!Z74</f>
        <v>0</v>
      </c>
      <c r="W72">
        <f>'Rotor Model (SAE)'!AA74</f>
        <v>0</v>
      </c>
      <c r="X72">
        <f>'Rotor Model (SAE)'!AB74</f>
        <v>0</v>
      </c>
    </row>
    <row r="73" spans="1:24" x14ac:dyDescent="0.25">
      <c r="A73">
        <f>'Rotor Model (SAE)'!A75</f>
        <v>70</v>
      </c>
      <c r="B73" t="str">
        <f>IF('Rotor Model (SAE)'!B75&lt;&gt;"",'Rotor Model (SAE)'!B75,"")</f>
        <v/>
      </c>
      <c r="C73">
        <f>'Rotor Model (SAE)'!C75</f>
        <v>0</v>
      </c>
      <c r="D73">
        <f>'Rotor Model (SAE)'!D75</f>
        <v>0</v>
      </c>
      <c r="E73">
        <f>'Rotor Model (SAE)'!E75</f>
        <v>0</v>
      </c>
      <c r="F73">
        <f>'Rotor Model (SAE)'!F75</f>
        <v>0</v>
      </c>
      <c r="G73">
        <f>'Rotor Model (SAE)'!G75</f>
        <v>0</v>
      </c>
      <c r="H73">
        <f>'Rotor Model (SAE)'!I75</f>
        <v>30000000</v>
      </c>
      <c r="I73">
        <f>'Rotor Model (SAE)'!J75</f>
        <v>0.3</v>
      </c>
      <c r="J73">
        <f>'Rotor Model (SAE)'!H75</f>
        <v>0.28299999999999997</v>
      </c>
      <c r="K73">
        <f>'Rotor Model (SAE)'!O75</f>
        <v>0</v>
      </c>
      <c r="L73">
        <f>'Rotor Model (SAE)'!P75</f>
        <v>0</v>
      </c>
      <c r="M73">
        <f>'Rotor Model (SAE)'!Q75</f>
        <v>0</v>
      </c>
      <c r="N73">
        <f>'Rotor Model (SAE)'!R75</f>
        <v>0</v>
      </c>
      <c r="O73">
        <f>'Rotor Model (SAE)'!S75</f>
        <v>0</v>
      </c>
      <c r="P73">
        <f>'Rotor Model (SAE)'!T75</f>
        <v>0</v>
      </c>
      <c r="Q73">
        <f>'Rotor Model (SAE)'!U75</f>
        <v>0</v>
      </c>
      <c r="R73">
        <f>'Rotor Model (SAE)'!V75</f>
        <v>0</v>
      </c>
      <c r="S73">
        <f>'Rotor Model (SAE)'!W75</f>
        <v>0</v>
      </c>
      <c r="T73">
        <f>'Rotor Model (SAE)'!X75</f>
        <v>0</v>
      </c>
      <c r="U73">
        <f>'Rotor Model (SAE)'!Y75</f>
        <v>0</v>
      </c>
      <c r="V73">
        <f>'Rotor Model (SAE)'!Z75</f>
        <v>0</v>
      </c>
      <c r="W73">
        <f>'Rotor Model (SAE)'!AA75</f>
        <v>0</v>
      </c>
      <c r="X73">
        <f>'Rotor Model (SAE)'!AB75</f>
        <v>0</v>
      </c>
    </row>
    <row r="74" spans="1:24" x14ac:dyDescent="0.25">
      <c r="A74">
        <f>'Rotor Model (SAE)'!A76</f>
        <v>71</v>
      </c>
      <c r="B74" t="str">
        <f>IF('Rotor Model (SAE)'!B76&lt;&gt;"",'Rotor Model (SAE)'!B76,"")</f>
        <v/>
      </c>
      <c r="C74">
        <f>'Rotor Model (SAE)'!C76</f>
        <v>0</v>
      </c>
      <c r="D74">
        <f>'Rotor Model (SAE)'!D76</f>
        <v>0</v>
      </c>
      <c r="E74">
        <f>'Rotor Model (SAE)'!E76</f>
        <v>0</v>
      </c>
      <c r="F74">
        <f>'Rotor Model (SAE)'!F76</f>
        <v>0</v>
      </c>
      <c r="G74">
        <f>'Rotor Model (SAE)'!G76</f>
        <v>0</v>
      </c>
      <c r="H74">
        <f>'Rotor Model (SAE)'!I76</f>
        <v>30000000</v>
      </c>
      <c r="I74">
        <f>'Rotor Model (SAE)'!J76</f>
        <v>0.3</v>
      </c>
      <c r="J74">
        <f>'Rotor Model (SAE)'!H76</f>
        <v>0.28299999999999997</v>
      </c>
      <c r="K74">
        <f>'Rotor Model (SAE)'!O76</f>
        <v>0</v>
      </c>
      <c r="L74">
        <f>'Rotor Model (SAE)'!P76</f>
        <v>0</v>
      </c>
      <c r="M74">
        <f>'Rotor Model (SAE)'!Q76</f>
        <v>0</v>
      </c>
      <c r="N74">
        <f>'Rotor Model (SAE)'!R76</f>
        <v>0</v>
      </c>
      <c r="O74">
        <f>'Rotor Model (SAE)'!S76</f>
        <v>0</v>
      </c>
      <c r="P74">
        <f>'Rotor Model (SAE)'!T76</f>
        <v>0</v>
      </c>
      <c r="Q74">
        <f>'Rotor Model (SAE)'!U76</f>
        <v>0</v>
      </c>
      <c r="R74">
        <f>'Rotor Model (SAE)'!V76</f>
        <v>0</v>
      </c>
      <c r="S74">
        <f>'Rotor Model (SAE)'!W76</f>
        <v>0</v>
      </c>
      <c r="T74">
        <f>'Rotor Model (SAE)'!X76</f>
        <v>0</v>
      </c>
      <c r="U74">
        <f>'Rotor Model (SAE)'!Y76</f>
        <v>0</v>
      </c>
      <c r="V74">
        <f>'Rotor Model (SAE)'!Z76</f>
        <v>0</v>
      </c>
      <c r="W74">
        <f>'Rotor Model (SAE)'!AA76</f>
        <v>0</v>
      </c>
      <c r="X74">
        <f>'Rotor Model (SAE)'!AB76</f>
        <v>0</v>
      </c>
    </row>
    <row r="75" spans="1:24" x14ac:dyDescent="0.25">
      <c r="A75">
        <f>'Rotor Model (SAE)'!A77</f>
        <v>72</v>
      </c>
      <c r="B75" t="str">
        <f>IF('Rotor Model (SAE)'!B77&lt;&gt;"",'Rotor Model (SAE)'!B77,"")</f>
        <v/>
      </c>
      <c r="C75">
        <f>'Rotor Model (SAE)'!C77</f>
        <v>0</v>
      </c>
      <c r="D75">
        <f>'Rotor Model (SAE)'!D77</f>
        <v>0</v>
      </c>
      <c r="E75">
        <f>'Rotor Model (SAE)'!E77</f>
        <v>0</v>
      </c>
      <c r="F75">
        <f>'Rotor Model (SAE)'!F77</f>
        <v>0</v>
      </c>
      <c r="G75">
        <f>'Rotor Model (SAE)'!G77</f>
        <v>0</v>
      </c>
      <c r="H75">
        <f>'Rotor Model (SAE)'!I77</f>
        <v>30000000</v>
      </c>
      <c r="I75">
        <f>'Rotor Model (SAE)'!J77</f>
        <v>0.3</v>
      </c>
      <c r="J75">
        <f>'Rotor Model (SAE)'!H77</f>
        <v>0.28299999999999997</v>
      </c>
      <c r="K75">
        <f>'Rotor Model (SAE)'!O77</f>
        <v>0</v>
      </c>
      <c r="L75">
        <f>'Rotor Model (SAE)'!P77</f>
        <v>0</v>
      </c>
      <c r="M75">
        <f>'Rotor Model (SAE)'!Q77</f>
        <v>0</v>
      </c>
      <c r="N75">
        <f>'Rotor Model (SAE)'!R77</f>
        <v>0</v>
      </c>
      <c r="O75">
        <f>'Rotor Model (SAE)'!S77</f>
        <v>0</v>
      </c>
      <c r="P75">
        <f>'Rotor Model (SAE)'!T77</f>
        <v>0</v>
      </c>
      <c r="Q75">
        <f>'Rotor Model (SAE)'!U77</f>
        <v>0</v>
      </c>
      <c r="R75">
        <f>'Rotor Model (SAE)'!V77</f>
        <v>0</v>
      </c>
      <c r="S75">
        <f>'Rotor Model (SAE)'!W77</f>
        <v>0</v>
      </c>
      <c r="T75">
        <f>'Rotor Model (SAE)'!X77</f>
        <v>0</v>
      </c>
      <c r="U75">
        <f>'Rotor Model (SAE)'!Y77</f>
        <v>0</v>
      </c>
      <c r="V75">
        <f>'Rotor Model (SAE)'!Z77</f>
        <v>0</v>
      </c>
      <c r="W75">
        <f>'Rotor Model (SAE)'!AA77</f>
        <v>0</v>
      </c>
      <c r="X75">
        <f>'Rotor Model (SAE)'!AB77</f>
        <v>0</v>
      </c>
    </row>
    <row r="76" spans="1:24" x14ac:dyDescent="0.25">
      <c r="A76">
        <f>'Rotor Model (SAE)'!A78</f>
        <v>73</v>
      </c>
      <c r="B76" t="str">
        <f>IF('Rotor Model (SAE)'!B78&lt;&gt;"",'Rotor Model (SAE)'!B78,"")</f>
        <v/>
      </c>
      <c r="C76">
        <f>'Rotor Model (SAE)'!C78</f>
        <v>0</v>
      </c>
      <c r="D76">
        <f>'Rotor Model (SAE)'!D78</f>
        <v>0</v>
      </c>
      <c r="E76">
        <f>'Rotor Model (SAE)'!E78</f>
        <v>0</v>
      </c>
      <c r="F76">
        <f>'Rotor Model (SAE)'!F78</f>
        <v>0</v>
      </c>
      <c r="G76">
        <f>'Rotor Model (SAE)'!G78</f>
        <v>0</v>
      </c>
      <c r="H76">
        <f>'Rotor Model (SAE)'!I78</f>
        <v>30000000</v>
      </c>
      <c r="I76">
        <f>'Rotor Model (SAE)'!J78</f>
        <v>0.3</v>
      </c>
      <c r="J76">
        <f>'Rotor Model (SAE)'!H78</f>
        <v>0.28299999999999997</v>
      </c>
      <c r="K76">
        <f>'Rotor Model (SAE)'!O78</f>
        <v>0</v>
      </c>
      <c r="L76">
        <f>'Rotor Model (SAE)'!P78</f>
        <v>0</v>
      </c>
      <c r="M76">
        <f>'Rotor Model (SAE)'!Q78</f>
        <v>0</v>
      </c>
      <c r="N76">
        <f>'Rotor Model (SAE)'!R78</f>
        <v>0</v>
      </c>
      <c r="O76">
        <f>'Rotor Model (SAE)'!S78</f>
        <v>0</v>
      </c>
      <c r="P76">
        <f>'Rotor Model (SAE)'!T78</f>
        <v>0</v>
      </c>
      <c r="Q76">
        <f>'Rotor Model (SAE)'!U78</f>
        <v>0</v>
      </c>
      <c r="R76">
        <f>'Rotor Model (SAE)'!V78</f>
        <v>0</v>
      </c>
      <c r="S76">
        <f>'Rotor Model (SAE)'!W78</f>
        <v>0</v>
      </c>
      <c r="T76">
        <f>'Rotor Model (SAE)'!X78</f>
        <v>0</v>
      </c>
      <c r="U76">
        <f>'Rotor Model (SAE)'!Y78</f>
        <v>0</v>
      </c>
      <c r="V76">
        <f>'Rotor Model (SAE)'!Z78</f>
        <v>0</v>
      </c>
      <c r="W76">
        <f>'Rotor Model (SAE)'!AA78</f>
        <v>0</v>
      </c>
      <c r="X76">
        <f>'Rotor Model (SAE)'!AB78</f>
        <v>0</v>
      </c>
    </row>
    <row r="77" spans="1:24" x14ac:dyDescent="0.25">
      <c r="A77">
        <f>'Rotor Model (SAE)'!A79</f>
        <v>74</v>
      </c>
      <c r="B77" t="str">
        <f>IF('Rotor Model (SAE)'!B79&lt;&gt;"",'Rotor Model (SAE)'!B79,"")</f>
        <v/>
      </c>
      <c r="C77">
        <f>'Rotor Model (SAE)'!C79</f>
        <v>0</v>
      </c>
      <c r="D77">
        <f>'Rotor Model (SAE)'!D79</f>
        <v>0</v>
      </c>
      <c r="E77">
        <f>'Rotor Model (SAE)'!E79</f>
        <v>0</v>
      </c>
      <c r="F77">
        <f>'Rotor Model (SAE)'!F79</f>
        <v>0</v>
      </c>
      <c r="G77">
        <f>'Rotor Model (SAE)'!G79</f>
        <v>0</v>
      </c>
      <c r="H77">
        <f>'Rotor Model (SAE)'!I79</f>
        <v>30000000</v>
      </c>
      <c r="I77">
        <f>'Rotor Model (SAE)'!J79</f>
        <v>0.3</v>
      </c>
      <c r="J77">
        <f>'Rotor Model (SAE)'!H79</f>
        <v>0.28299999999999997</v>
      </c>
      <c r="K77">
        <f>'Rotor Model (SAE)'!O79</f>
        <v>0</v>
      </c>
      <c r="L77">
        <f>'Rotor Model (SAE)'!P79</f>
        <v>0</v>
      </c>
      <c r="M77">
        <f>'Rotor Model (SAE)'!Q79</f>
        <v>0</v>
      </c>
      <c r="N77">
        <f>'Rotor Model (SAE)'!R79</f>
        <v>0</v>
      </c>
      <c r="O77">
        <f>'Rotor Model (SAE)'!S79</f>
        <v>0</v>
      </c>
      <c r="P77">
        <f>'Rotor Model (SAE)'!T79</f>
        <v>0</v>
      </c>
      <c r="Q77">
        <f>'Rotor Model (SAE)'!U79</f>
        <v>0</v>
      </c>
      <c r="R77">
        <f>'Rotor Model (SAE)'!V79</f>
        <v>0</v>
      </c>
      <c r="S77">
        <f>'Rotor Model (SAE)'!W79</f>
        <v>0</v>
      </c>
      <c r="T77">
        <f>'Rotor Model (SAE)'!X79</f>
        <v>0</v>
      </c>
      <c r="U77">
        <f>'Rotor Model (SAE)'!Y79</f>
        <v>0</v>
      </c>
      <c r="V77">
        <f>'Rotor Model (SAE)'!Z79</f>
        <v>0</v>
      </c>
      <c r="W77">
        <f>'Rotor Model (SAE)'!AA79</f>
        <v>0</v>
      </c>
      <c r="X77">
        <f>'Rotor Model (SAE)'!AB79</f>
        <v>0</v>
      </c>
    </row>
    <row r="78" spans="1:24" x14ac:dyDescent="0.25">
      <c r="A78">
        <f>'Rotor Model (SAE)'!A80</f>
        <v>75</v>
      </c>
      <c r="B78" t="str">
        <f>IF('Rotor Model (SAE)'!B80&lt;&gt;"",'Rotor Model (SAE)'!B80,"")</f>
        <v/>
      </c>
      <c r="C78">
        <f>'Rotor Model (SAE)'!C80</f>
        <v>0</v>
      </c>
      <c r="D78">
        <f>'Rotor Model (SAE)'!D80</f>
        <v>0</v>
      </c>
      <c r="E78">
        <f>'Rotor Model (SAE)'!E80</f>
        <v>0</v>
      </c>
      <c r="F78">
        <f>'Rotor Model (SAE)'!F80</f>
        <v>0</v>
      </c>
      <c r="G78">
        <f>'Rotor Model (SAE)'!G80</f>
        <v>0</v>
      </c>
      <c r="H78">
        <f>'Rotor Model (SAE)'!I80</f>
        <v>30000000</v>
      </c>
      <c r="I78">
        <f>'Rotor Model (SAE)'!J80</f>
        <v>0.3</v>
      </c>
      <c r="J78">
        <f>'Rotor Model (SAE)'!H80</f>
        <v>0.28299999999999997</v>
      </c>
      <c r="K78">
        <f>'Rotor Model (SAE)'!O80</f>
        <v>0</v>
      </c>
      <c r="L78">
        <f>'Rotor Model (SAE)'!P80</f>
        <v>0</v>
      </c>
      <c r="M78">
        <f>'Rotor Model (SAE)'!Q80</f>
        <v>0</v>
      </c>
      <c r="N78">
        <f>'Rotor Model (SAE)'!R80</f>
        <v>0</v>
      </c>
      <c r="O78">
        <f>'Rotor Model (SAE)'!S80</f>
        <v>0</v>
      </c>
      <c r="P78">
        <f>'Rotor Model (SAE)'!T80</f>
        <v>0</v>
      </c>
      <c r="Q78">
        <f>'Rotor Model (SAE)'!U80</f>
        <v>0</v>
      </c>
      <c r="R78">
        <f>'Rotor Model (SAE)'!V80</f>
        <v>0</v>
      </c>
      <c r="S78">
        <f>'Rotor Model (SAE)'!W80</f>
        <v>0</v>
      </c>
      <c r="T78">
        <f>'Rotor Model (SAE)'!X80</f>
        <v>0</v>
      </c>
      <c r="U78">
        <f>'Rotor Model (SAE)'!Y80</f>
        <v>0</v>
      </c>
      <c r="V78">
        <f>'Rotor Model (SAE)'!Z80</f>
        <v>0</v>
      </c>
      <c r="W78">
        <f>'Rotor Model (SAE)'!AA80</f>
        <v>0</v>
      </c>
      <c r="X78">
        <f>'Rotor Model (SAE)'!AB80</f>
        <v>0</v>
      </c>
    </row>
    <row r="79" spans="1:24" x14ac:dyDescent="0.25">
      <c r="A79">
        <f>'Rotor Model (SAE)'!A81</f>
        <v>76</v>
      </c>
      <c r="B79" t="str">
        <f>IF('Rotor Model (SAE)'!B81&lt;&gt;"",'Rotor Model (SAE)'!B81,"")</f>
        <v/>
      </c>
      <c r="C79">
        <f>'Rotor Model (SAE)'!C81</f>
        <v>0</v>
      </c>
      <c r="D79">
        <f>'Rotor Model (SAE)'!D81</f>
        <v>0</v>
      </c>
      <c r="E79">
        <f>'Rotor Model (SAE)'!E81</f>
        <v>0</v>
      </c>
      <c r="F79">
        <f>'Rotor Model (SAE)'!F81</f>
        <v>0</v>
      </c>
      <c r="G79">
        <f>'Rotor Model (SAE)'!G81</f>
        <v>0</v>
      </c>
      <c r="H79">
        <f>'Rotor Model (SAE)'!I81</f>
        <v>30000000</v>
      </c>
      <c r="I79">
        <f>'Rotor Model (SAE)'!J81</f>
        <v>0.3</v>
      </c>
      <c r="J79">
        <f>'Rotor Model (SAE)'!H81</f>
        <v>0.28299999999999997</v>
      </c>
      <c r="K79">
        <f>'Rotor Model (SAE)'!O81</f>
        <v>0</v>
      </c>
      <c r="L79">
        <f>'Rotor Model (SAE)'!P81</f>
        <v>0</v>
      </c>
      <c r="M79">
        <f>'Rotor Model (SAE)'!Q81</f>
        <v>0</v>
      </c>
      <c r="N79">
        <f>'Rotor Model (SAE)'!R81</f>
        <v>0</v>
      </c>
      <c r="O79">
        <f>'Rotor Model (SAE)'!S81</f>
        <v>0</v>
      </c>
      <c r="P79">
        <f>'Rotor Model (SAE)'!T81</f>
        <v>0</v>
      </c>
      <c r="Q79">
        <f>'Rotor Model (SAE)'!U81</f>
        <v>0</v>
      </c>
      <c r="R79">
        <f>'Rotor Model (SAE)'!V81</f>
        <v>0</v>
      </c>
      <c r="S79">
        <f>'Rotor Model (SAE)'!W81</f>
        <v>0</v>
      </c>
      <c r="T79">
        <f>'Rotor Model (SAE)'!X81</f>
        <v>0</v>
      </c>
      <c r="U79">
        <f>'Rotor Model (SAE)'!Y81</f>
        <v>0</v>
      </c>
      <c r="V79">
        <f>'Rotor Model (SAE)'!Z81</f>
        <v>0</v>
      </c>
      <c r="W79">
        <f>'Rotor Model (SAE)'!AA81</f>
        <v>0</v>
      </c>
      <c r="X79">
        <f>'Rotor Model (SAE)'!AB81</f>
        <v>0</v>
      </c>
    </row>
    <row r="80" spans="1:24" x14ac:dyDescent="0.25">
      <c r="A80">
        <f>'Rotor Model (SAE)'!A82</f>
        <v>77</v>
      </c>
      <c r="B80" t="str">
        <f>IF('Rotor Model (SAE)'!B82&lt;&gt;"",'Rotor Model (SAE)'!B82,"")</f>
        <v/>
      </c>
      <c r="C80">
        <f>'Rotor Model (SAE)'!C82</f>
        <v>0</v>
      </c>
      <c r="D80">
        <f>'Rotor Model (SAE)'!D82</f>
        <v>0</v>
      </c>
      <c r="E80">
        <f>'Rotor Model (SAE)'!E82</f>
        <v>0</v>
      </c>
      <c r="F80">
        <f>'Rotor Model (SAE)'!F82</f>
        <v>0</v>
      </c>
      <c r="G80">
        <f>'Rotor Model (SAE)'!G82</f>
        <v>0</v>
      </c>
      <c r="H80">
        <f>'Rotor Model (SAE)'!I82</f>
        <v>30000000</v>
      </c>
      <c r="I80">
        <f>'Rotor Model (SAE)'!J82</f>
        <v>0.3</v>
      </c>
      <c r="J80">
        <f>'Rotor Model (SAE)'!H82</f>
        <v>0.28299999999999997</v>
      </c>
      <c r="K80">
        <f>'Rotor Model (SAE)'!O82</f>
        <v>0</v>
      </c>
      <c r="L80">
        <f>'Rotor Model (SAE)'!P82</f>
        <v>0</v>
      </c>
      <c r="M80">
        <f>'Rotor Model (SAE)'!Q82</f>
        <v>0</v>
      </c>
      <c r="N80">
        <f>'Rotor Model (SAE)'!R82</f>
        <v>0</v>
      </c>
      <c r="O80">
        <f>'Rotor Model (SAE)'!S82</f>
        <v>0</v>
      </c>
      <c r="P80">
        <f>'Rotor Model (SAE)'!T82</f>
        <v>0</v>
      </c>
      <c r="Q80">
        <f>'Rotor Model (SAE)'!U82</f>
        <v>0</v>
      </c>
      <c r="R80">
        <f>'Rotor Model (SAE)'!V82</f>
        <v>0</v>
      </c>
      <c r="S80">
        <f>'Rotor Model (SAE)'!W82</f>
        <v>0</v>
      </c>
      <c r="T80">
        <f>'Rotor Model (SAE)'!X82</f>
        <v>0</v>
      </c>
      <c r="U80">
        <f>'Rotor Model (SAE)'!Y82</f>
        <v>0</v>
      </c>
      <c r="V80">
        <f>'Rotor Model (SAE)'!Z82</f>
        <v>0</v>
      </c>
      <c r="W80">
        <f>'Rotor Model (SAE)'!AA82</f>
        <v>0</v>
      </c>
      <c r="X80">
        <f>'Rotor Model (SAE)'!AB82</f>
        <v>0</v>
      </c>
    </row>
    <row r="81" spans="1:24" x14ac:dyDescent="0.25">
      <c r="A81">
        <f>'Rotor Model (SAE)'!A83</f>
        <v>78</v>
      </c>
      <c r="B81" t="str">
        <f>IF('Rotor Model (SAE)'!B83&lt;&gt;"",'Rotor Model (SAE)'!B83,"")</f>
        <v/>
      </c>
      <c r="C81">
        <f>'Rotor Model (SAE)'!C83</f>
        <v>0</v>
      </c>
      <c r="D81">
        <f>'Rotor Model (SAE)'!D83</f>
        <v>0</v>
      </c>
      <c r="E81">
        <f>'Rotor Model (SAE)'!E83</f>
        <v>0</v>
      </c>
      <c r="F81">
        <f>'Rotor Model (SAE)'!F83</f>
        <v>0</v>
      </c>
      <c r="G81">
        <f>'Rotor Model (SAE)'!G83</f>
        <v>0</v>
      </c>
      <c r="H81">
        <f>'Rotor Model (SAE)'!I83</f>
        <v>30000000</v>
      </c>
      <c r="I81">
        <f>'Rotor Model (SAE)'!J83</f>
        <v>0.3</v>
      </c>
      <c r="J81">
        <f>'Rotor Model (SAE)'!H83</f>
        <v>0.28299999999999997</v>
      </c>
      <c r="K81">
        <f>'Rotor Model (SAE)'!O83</f>
        <v>0</v>
      </c>
      <c r="L81">
        <f>'Rotor Model (SAE)'!P83</f>
        <v>0</v>
      </c>
      <c r="M81">
        <f>'Rotor Model (SAE)'!Q83</f>
        <v>0</v>
      </c>
      <c r="N81">
        <f>'Rotor Model (SAE)'!R83</f>
        <v>0</v>
      </c>
      <c r="O81">
        <f>'Rotor Model (SAE)'!S83</f>
        <v>0</v>
      </c>
      <c r="P81">
        <f>'Rotor Model (SAE)'!T83</f>
        <v>0</v>
      </c>
      <c r="Q81">
        <f>'Rotor Model (SAE)'!U83</f>
        <v>0</v>
      </c>
      <c r="R81">
        <f>'Rotor Model (SAE)'!V83</f>
        <v>0</v>
      </c>
      <c r="S81">
        <f>'Rotor Model (SAE)'!W83</f>
        <v>0</v>
      </c>
      <c r="T81">
        <f>'Rotor Model (SAE)'!X83</f>
        <v>0</v>
      </c>
      <c r="U81">
        <f>'Rotor Model (SAE)'!Y83</f>
        <v>0</v>
      </c>
      <c r="V81">
        <f>'Rotor Model (SAE)'!Z83</f>
        <v>0</v>
      </c>
      <c r="W81">
        <f>'Rotor Model (SAE)'!AA83</f>
        <v>0</v>
      </c>
      <c r="X81">
        <f>'Rotor Model (SAE)'!AB83</f>
        <v>0</v>
      </c>
    </row>
    <row r="82" spans="1:24" x14ac:dyDescent="0.25">
      <c r="A82">
        <f>'Rotor Model (SAE)'!A84</f>
        <v>79</v>
      </c>
      <c r="B82" t="str">
        <f>IF('Rotor Model (SAE)'!B84&lt;&gt;"",'Rotor Model (SAE)'!B84,"")</f>
        <v/>
      </c>
      <c r="C82">
        <f>'Rotor Model (SAE)'!C84</f>
        <v>0</v>
      </c>
      <c r="D82">
        <f>'Rotor Model (SAE)'!D84</f>
        <v>0</v>
      </c>
      <c r="E82">
        <f>'Rotor Model (SAE)'!E84</f>
        <v>0</v>
      </c>
      <c r="F82">
        <f>'Rotor Model (SAE)'!F84</f>
        <v>0</v>
      </c>
      <c r="G82">
        <f>'Rotor Model (SAE)'!G84</f>
        <v>0</v>
      </c>
      <c r="H82">
        <f>'Rotor Model (SAE)'!I84</f>
        <v>30000000</v>
      </c>
      <c r="I82">
        <f>'Rotor Model (SAE)'!J84</f>
        <v>0.3</v>
      </c>
      <c r="J82">
        <f>'Rotor Model (SAE)'!H84</f>
        <v>0.28299999999999997</v>
      </c>
      <c r="K82">
        <f>'Rotor Model (SAE)'!O84</f>
        <v>0</v>
      </c>
      <c r="L82">
        <f>'Rotor Model (SAE)'!P84</f>
        <v>0</v>
      </c>
      <c r="M82">
        <f>'Rotor Model (SAE)'!Q84</f>
        <v>0</v>
      </c>
      <c r="N82">
        <f>'Rotor Model (SAE)'!R84</f>
        <v>0</v>
      </c>
      <c r="O82">
        <f>'Rotor Model (SAE)'!S84</f>
        <v>0</v>
      </c>
      <c r="P82">
        <f>'Rotor Model (SAE)'!T84</f>
        <v>0</v>
      </c>
      <c r="Q82">
        <f>'Rotor Model (SAE)'!U84</f>
        <v>0</v>
      </c>
      <c r="R82">
        <f>'Rotor Model (SAE)'!V84</f>
        <v>0</v>
      </c>
      <c r="S82">
        <f>'Rotor Model (SAE)'!W84</f>
        <v>0</v>
      </c>
      <c r="T82">
        <f>'Rotor Model (SAE)'!X84</f>
        <v>0</v>
      </c>
      <c r="U82">
        <f>'Rotor Model (SAE)'!Y84</f>
        <v>0</v>
      </c>
      <c r="V82">
        <f>'Rotor Model (SAE)'!Z84</f>
        <v>0</v>
      </c>
      <c r="W82">
        <f>'Rotor Model (SAE)'!AA84</f>
        <v>0</v>
      </c>
      <c r="X82">
        <f>'Rotor Model (SAE)'!AB84</f>
        <v>0</v>
      </c>
    </row>
    <row r="83" spans="1:24" x14ac:dyDescent="0.25">
      <c r="A83">
        <f>'Rotor Model (SAE)'!A85</f>
        <v>80</v>
      </c>
      <c r="B83" t="str">
        <f>IF('Rotor Model (SAE)'!B85&lt;&gt;"",'Rotor Model (SAE)'!B85,"")</f>
        <v/>
      </c>
      <c r="C83">
        <f>'Rotor Model (SAE)'!C85</f>
        <v>0</v>
      </c>
      <c r="D83">
        <f>'Rotor Model (SAE)'!D85</f>
        <v>0</v>
      </c>
      <c r="E83">
        <f>'Rotor Model (SAE)'!E85</f>
        <v>0</v>
      </c>
      <c r="F83">
        <f>'Rotor Model (SAE)'!F85</f>
        <v>0</v>
      </c>
      <c r="G83">
        <f>'Rotor Model (SAE)'!G85</f>
        <v>0</v>
      </c>
      <c r="H83">
        <f>'Rotor Model (SAE)'!I85</f>
        <v>30000000</v>
      </c>
      <c r="I83">
        <f>'Rotor Model (SAE)'!J85</f>
        <v>0.3</v>
      </c>
      <c r="J83">
        <f>'Rotor Model (SAE)'!H85</f>
        <v>0.28299999999999997</v>
      </c>
      <c r="K83">
        <f>'Rotor Model (SAE)'!O85</f>
        <v>0</v>
      </c>
      <c r="L83">
        <f>'Rotor Model (SAE)'!P85</f>
        <v>0</v>
      </c>
      <c r="M83">
        <f>'Rotor Model (SAE)'!Q85</f>
        <v>0</v>
      </c>
      <c r="N83">
        <f>'Rotor Model (SAE)'!R85</f>
        <v>0</v>
      </c>
      <c r="O83">
        <f>'Rotor Model (SAE)'!S85</f>
        <v>0</v>
      </c>
      <c r="P83">
        <f>'Rotor Model (SAE)'!T85</f>
        <v>0</v>
      </c>
      <c r="Q83">
        <f>'Rotor Model (SAE)'!U85</f>
        <v>0</v>
      </c>
      <c r="R83">
        <f>'Rotor Model (SAE)'!V85</f>
        <v>0</v>
      </c>
      <c r="S83">
        <f>'Rotor Model (SAE)'!W85</f>
        <v>0</v>
      </c>
      <c r="T83">
        <f>'Rotor Model (SAE)'!X85</f>
        <v>0</v>
      </c>
      <c r="U83">
        <f>'Rotor Model (SAE)'!Y85</f>
        <v>0</v>
      </c>
      <c r="V83">
        <f>'Rotor Model (SAE)'!Z85</f>
        <v>0</v>
      </c>
      <c r="W83">
        <f>'Rotor Model (SAE)'!AA85</f>
        <v>0</v>
      </c>
      <c r="X83">
        <f>'Rotor Model (SAE)'!AB85</f>
        <v>0</v>
      </c>
    </row>
    <row r="84" spans="1:24" x14ac:dyDescent="0.25">
      <c r="A84">
        <f>'Rotor Model (SAE)'!A86</f>
        <v>81</v>
      </c>
      <c r="B84" t="str">
        <f>IF('Rotor Model (SAE)'!B86&lt;&gt;"",'Rotor Model (SAE)'!B86,"")</f>
        <v/>
      </c>
      <c r="C84">
        <f>'Rotor Model (SAE)'!C86</f>
        <v>0</v>
      </c>
      <c r="D84">
        <f>'Rotor Model (SAE)'!D86</f>
        <v>0</v>
      </c>
      <c r="E84">
        <f>'Rotor Model (SAE)'!E86</f>
        <v>0</v>
      </c>
      <c r="F84">
        <f>'Rotor Model (SAE)'!F86</f>
        <v>0</v>
      </c>
      <c r="G84">
        <f>'Rotor Model (SAE)'!G86</f>
        <v>0</v>
      </c>
      <c r="H84">
        <f>'Rotor Model (SAE)'!I86</f>
        <v>30000000</v>
      </c>
      <c r="I84">
        <f>'Rotor Model (SAE)'!J86</f>
        <v>0.3</v>
      </c>
      <c r="J84">
        <f>'Rotor Model (SAE)'!H86</f>
        <v>0.28299999999999997</v>
      </c>
      <c r="K84">
        <f>'Rotor Model (SAE)'!O86</f>
        <v>0</v>
      </c>
      <c r="L84">
        <f>'Rotor Model (SAE)'!P86</f>
        <v>0</v>
      </c>
      <c r="M84">
        <f>'Rotor Model (SAE)'!Q86</f>
        <v>0</v>
      </c>
      <c r="N84">
        <f>'Rotor Model (SAE)'!R86</f>
        <v>0</v>
      </c>
      <c r="O84">
        <f>'Rotor Model (SAE)'!S86</f>
        <v>0</v>
      </c>
      <c r="P84">
        <f>'Rotor Model (SAE)'!T86</f>
        <v>0</v>
      </c>
      <c r="Q84">
        <f>'Rotor Model (SAE)'!U86</f>
        <v>0</v>
      </c>
      <c r="R84">
        <f>'Rotor Model (SAE)'!V86</f>
        <v>0</v>
      </c>
      <c r="S84">
        <f>'Rotor Model (SAE)'!W86</f>
        <v>0</v>
      </c>
      <c r="T84">
        <f>'Rotor Model (SAE)'!X86</f>
        <v>0</v>
      </c>
      <c r="U84">
        <f>'Rotor Model (SAE)'!Y86</f>
        <v>0</v>
      </c>
      <c r="V84">
        <f>'Rotor Model (SAE)'!Z86</f>
        <v>0</v>
      </c>
      <c r="W84">
        <f>'Rotor Model (SAE)'!AA86</f>
        <v>0</v>
      </c>
      <c r="X84">
        <f>'Rotor Model (SAE)'!AB86</f>
        <v>0</v>
      </c>
    </row>
    <row r="85" spans="1:24" x14ac:dyDescent="0.25">
      <c r="A85">
        <f>'Rotor Model (SAE)'!A87</f>
        <v>82</v>
      </c>
      <c r="B85" t="str">
        <f>IF('Rotor Model (SAE)'!B87&lt;&gt;"",'Rotor Model (SAE)'!B87,"")</f>
        <v/>
      </c>
      <c r="C85">
        <f>'Rotor Model (SAE)'!C87</f>
        <v>0</v>
      </c>
      <c r="D85">
        <f>'Rotor Model (SAE)'!D87</f>
        <v>0</v>
      </c>
      <c r="E85">
        <f>'Rotor Model (SAE)'!E87</f>
        <v>0</v>
      </c>
      <c r="F85">
        <f>'Rotor Model (SAE)'!F87</f>
        <v>0</v>
      </c>
      <c r="G85">
        <f>'Rotor Model (SAE)'!G87</f>
        <v>0</v>
      </c>
      <c r="H85">
        <f>'Rotor Model (SAE)'!I87</f>
        <v>30000000</v>
      </c>
      <c r="I85">
        <f>'Rotor Model (SAE)'!J87</f>
        <v>0.3</v>
      </c>
      <c r="J85">
        <f>'Rotor Model (SAE)'!H87</f>
        <v>0.28299999999999997</v>
      </c>
      <c r="K85">
        <f>'Rotor Model (SAE)'!O87</f>
        <v>0</v>
      </c>
      <c r="L85">
        <f>'Rotor Model (SAE)'!P87</f>
        <v>0</v>
      </c>
      <c r="M85">
        <f>'Rotor Model (SAE)'!Q87</f>
        <v>0</v>
      </c>
      <c r="N85">
        <f>'Rotor Model (SAE)'!R87</f>
        <v>0</v>
      </c>
      <c r="O85">
        <f>'Rotor Model (SAE)'!S87</f>
        <v>0</v>
      </c>
      <c r="P85">
        <f>'Rotor Model (SAE)'!T87</f>
        <v>0</v>
      </c>
      <c r="Q85">
        <f>'Rotor Model (SAE)'!U87</f>
        <v>0</v>
      </c>
      <c r="R85">
        <f>'Rotor Model (SAE)'!V87</f>
        <v>0</v>
      </c>
      <c r="S85">
        <f>'Rotor Model (SAE)'!W87</f>
        <v>0</v>
      </c>
      <c r="T85">
        <f>'Rotor Model (SAE)'!X87</f>
        <v>0</v>
      </c>
      <c r="U85">
        <f>'Rotor Model (SAE)'!Y87</f>
        <v>0</v>
      </c>
      <c r="V85">
        <f>'Rotor Model (SAE)'!Z87</f>
        <v>0</v>
      </c>
      <c r="W85">
        <f>'Rotor Model (SAE)'!AA87</f>
        <v>0</v>
      </c>
      <c r="X85">
        <f>'Rotor Model (SAE)'!AB87</f>
        <v>0</v>
      </c>
    </row>
    <row r="86" spans="1:24" x14ac:dyDescent="0.25">
      <c r="A86">
        <f>'Rotor Model (SAE)'!A88</f>
        <v>83</v>
      </c>
      <c r="B86" t="str">
        <f>IF('Rotor Model (SAE)'!B88&lt;&gt;"",'Rotor Model (SAE)'!B88,"")</f>
        <v/>
      </c>
      <c r="C86">
        <f>'Rotor Model (SAE)'!C88</f>
        <v>0</v>
      </c>
      <c r="D86">
        <f>'Rotor Model (SAE)'!D88</f>
        <v>0</v>
      </c>
      <c r="E86">
        <f>'Rotor Model (SAE)'!E88</f>
        <v>0</v>
      </c>
      <c r="F86">
        <f>'Rotor Model (SAE)'!F88</f>
        <v>0</v>
      </c>
      <c r="G86">
        <f>'Rotor Model (SAE)'!G88</f>
        <v>0</v>
      </c>
      <c r="H86">
        <f>'Rotor Model (SAE)'!I88</f>
        <v>30000000</v>
      </c>
      <c r="I86">
        <f>'Rotor Model (SAE)'!J88</f>
        <v>0.3</v>
      </c>
      <c r="J86">
        <f>'Rotor Model (SAE)'!H88</f>
        <v>0.28299999999999997</v>
      </c>
      <c r="K86">
        <f>'Rotor Model (SAE)'!O88</f>
        <v>0</v>
      </c>
      <c r="L86">
        <f>'Rotor Model (SAE)'!P88</f>
        <v>0</v>
      </c>
      <c r="M86">
        <f>'Rotor Model (SAE)'!Q88</f>
        <v>0</v>
      </c>
      <c r="N86">
        <f>'Rotor Model (SAE)'!R88</f>
        <v>0</v>
      </c>
      <c r="O86">
        <f>'Rotor Model (SAE)'!S88</f>
        <v>0</v>
      </c>
      <c r="P86">
        <f>'Rotor Model (SAE)'!T88</f>
        <v>0</v>
      </c>
      <c r="Q86">
        <f>'Rotor Model (SAE)'!U88</f>
        <v>0</v>
      </c>
      <c r="R86">
        <f>'Rotor Model (SAE)'!V88</f>
        <v>0</v>
      </c>
      <c r="S86">
        <f>'Rotor Model (SAE)'!W88</f>
        <v>0</v>
      </c>
      <c r="T86">
        <f>'Rotor Model (SAE)'!X88</f>
        <v>0</v>
      </c>
      <c r="U86">
        <f>'Rotor Model (SAE)'!Y88</f>
        <v>0</v>
      </c>
      <c r="V86">
        <f>'Rotor Model (SAE)'!Z88</f>
        <v>0</v>
      </c>
      <c r="W86">
        <f>'Rotor Model (SAE)'!AA88</f>
        <v>0</v>
      </c>
      <c r="X86">
        <f>'Rotor Model (SAE)'!AB88</f>
        <v>0</v>
      </c>
    </row>
    <row r="87" spans="1:24" x14ac:dyDescent="0.25">
      <c r="A87">
        <f>'Rotor Model (SAE)'!A89</f>
        <v>84</v>
      </c>
      <c r="B87" t="str">
        <f>IF('Rotor Model (SAE)'!B89&lt;&gt;"",'Rotor Model (SAE)'!B89,"")</f>
        <v/>
      </c>
      <c r="C87">
        <f>'Rotor Model (SAE)'!C89</f>
        <v>0</v>
      </c>
      <c r="D87">
        <f>'Rotor Model (SAE)'!D89</f>
        <v>0</v>
      </c>
      <c r="E87">
        <f>'Rotor Model (SAE)'!E89</f>
        <v>0</v>
      </c>
      <c r="F87">
        <f>'Rotor Model (SAE)'!F89</f>
        <v>0</v>
      </c>
      <c r="G87">
        <f>'Rotor Model (SAE)'!G89</f>
        <v>0</v>
      </c>
      <c r="H87">
        <f>'Rotor Model (SAE)'!I89</f>
        <v>30000000</v>
      </c>
      <c r="I87">
        <f>'Rotor Model (SAE)'!J89</f>
        <v>0.3</v>
      </c>
      <c r="J87">
        <f>'Rotor Model (SAE)'!H89</f>
        <v>0.28299999999999997</v>
      </c>
      <c r="K87">
        <f>'Rotor Model (SAE)'!O89</f>
        <v>0</v>
      </c>
      <c r="L87">
        <f>'Rotor Model (SAE)'!P89</f>
        <v>0</v>
      </c>
      <c r="M87">
        <f>'Rotor Model (SAE)'!Q89</f>
        <v>0</v>
      </c>
      <c r="N87">
        <f>'Rotor Model (SAE)'!R89</f>
        <v>0</v>
      </c>
      <c r="O87">
        <f>'Rotor Model (SAE)'!S89</f>
        <v>0</v>
      </c>
      <c r="P87">
        <f>'Rotor Model (SAE)'!T89</f>
        <v>0</v>
      </c>
      <c r="Q87">
        <f>'Rotor Model (SAE)'!U89</f>
        <v>0</v>
      </c>
      <c r="R87">
        <f>'Rotor Model (SAE)'!V89</f>
        <v>0</v>
      </c>
      <c r="S87">
        <f>'Rotor Model (SAE)'!W89</f>
        <v>0</v>
      </c>
      <c r="T87">
        <f>'Rotor Model (SAE)'!X89</f>
        <v>0</v>
      </c>
      <c r="U87">
        <f>'Rotor Model (SAE)'!Y89</f>
        <v>0</v>
      </c>
      <c r="V87">
        <f>'Rotor Model (SAE)'!Z89</f>
        <v>0</v>
      </c>
      <c r="W87">
        <f>'Rotor Model (SAE)'!AA89</f>
        <v>0</v>
      </c>
      <c r="X87">
        <f>'Rotor Model (SAE)'!AB89</f>
        <v>0</v>
      </c>
    </row>
    <row r="88" spans="1:24" x14ac:dyDescent="0.25">
      <c r="A88">
        <f>'Rotor Model (SAE)'!A90</f>
        <v>85</v>
      </c>
      <c r="B88" t="str">
        <f>IF('Rotor Model (SAE)'!B90&lt;&gt;"",'Rotor Model (SAE)'!B90,"")</f>
        <v/>
      </c>
      <c r="C88">
        <f>'Rotor Model (SAE)'!C90</f>
        <v>0</v>
      </c>
      <c r="D88">
        <f>'Rotor Model (SAE)'!D90</f>
        <v>0</v>
      </c>
      <c r="E88">
        <f>'Rotor Model (SAE)'!E90</f>
        <v>0</v>
      </c>
      <c r="F88">
        <f>'Rotor Model (SAE)'!F90</f>
        <v>0</v>
      </c>
      <c r="G88">
        <f>'Rotor Model (SAE)'!G90</f>
        <v>0</v>
      </c>
      <c r="H88">
        <f>'Rotor Model (SAE)'!I90</f>
        <v>30000000</v>
      </c>
      <c r="I88">
        <f>'Rotor Model (SAE)'!J90</f>
        <v>0.3</v>
      </c>
      <c r="J88">
        <f>'Rotor Model (SAE)'!H90</f>
        <v>0.28299999999999997</v>
      </c>
      <c r="K88">
        <f>'Rotor Model (SAE)'!O90</f>
        <v>0</v>
      </c>
      <c r="L88">
        <f>'Rotor Model (SAE)'!P90</f>
        <v>0</v>
      </c>
      <c r="M88">
        <f>'Rotor Model (SAE)'!Q90</f>
        <v>0</v>
      </c>
      <c r="N88">
        <f>'Rotor Model (SAE)'!R90</f>
        <v>0</v>
      </c>
      <c r="O88">
        <f>'Rotor Model (SAE)'!S90</f>
        <v>0</v>
      </c>
      <c r="P88">
        <f>'Rotor Model (SAE)'!T90</f>
        <v>0</v>
      </c>
      <c r="Q88">
        <f>'Rotor Model (SAE)'!U90</f>
        <v>0</v>
      </c>
      <c r="R88">
        <f>'Rotor Model (SAE)'!V90</f>
        <v>0</v>
      </c>
      <c r="S88">
        <f>'Rotor Model (SAE)'!W90</f>
        <v>0</v>
      </c>
      <c r="T88">
        <f>'Rotor Model (SAE)'!X90</f>
        <v>0</v>
      </c>
      <c r="U88">
        <f>'Rotor Model (SAE)'!Y90</f>
        <v>0</v>
      </c>
      <c r="V88">
        <f>'Rotor Model (SAE)'!Z90</f>
        <v>0</v>
      </c>
      <c r="W88">
        <f>'Rotor Model (SAE)'!AA90</f>
        <v>0</v>
      </c>
      <c r="X88">
        <f>'Rotor Model (SAE)'!AB90</f>
        <v>0</v>
      </c>
    </row>
    <row r="89" spans="1:24" x14ac:dyDescent="0.25">
      <c r="A89">
        <f>'Rotor Model (SAE)'!A91</f>
        <v>86</v>
      </c>
      <c r="B89" t="str">
        <f>IF('Rotor Model (SAE)'!B91&lt;&gt;"",'Rotor Model (SAE)'!B91,"")</f>
        <v/>
      </c>
      <c r="C89">
        <f>'Rotor Model (SAE)'!C91</f>
        <v>0</v>
      </c>
      <c r="D89">
        <f>'Rotor Model (SAE)'!D91</f>
        <v>0</v>
      </c>
      <c r="E89">
        <f>'Rotor Model (SAE)'!E91</f>
        <v>0</v>
      </c>
      <c r="F89">
        <f>'Rotor Model (SAE)'!F91</f>
        <v>0</v>
      </c>
      <c r="G89">
        <f>'Rotor Model (SAE)'!G91</f>
        <v>0</v>
      </c>
      <c r="H89">
        <f>'Rotor Model (SAE)'!I91</f>
        <v>30000000</v>
      </c>
      <c r="I89">
        <f>'Rotor Model (SAE)'!J91</f>
        <v>0.3</v>
      </c>
      <c r="J89">
        <f>'Rotor Model (SAE)'!H91</f>
        <v>0.28299999999999997</v>
      </c>
      <c r="K89">
        <f>'Rotor Model (SAE)'!O91</f>
        <v>0</v>
      </c>
      <c r="L89">
        <f>'Rotor Model (SAE)'!P91</f>
        <v>0</v>
      </c>
      <c r="M89">
        <f>'Rotor Model (SAE)'!Q91</f>
        <v>0</v>
      </c>
      <c r="N89">
        <f>'Rotor Model (SAE)'!R91</f>
        <v>0</v>
      </c>
      <c r="O89">
        <f>'Rotor Model (SAE)'!S91</f>
        <v>0</v>
      </c>
      <c r="P89">
        <f>'Rotor Model (SAE)'!T91</f>
        <v>0</v>
      </c>
      <c r="Q89">
        <f>'Rotor Model (SAE)'!U91</f>
        <v>0</v>
      </c>
      <c r="R89">
        <f>'Rotor Model (SAE)'!V91</f>
        <v>0</v>
      </c>
      <c r="S89">
        <f>'Rotor Model (SAE)'!W91</f>
        <v>0</v>
      </c>
      <c r="T89">
        <f>'Rotor Model (SAE)'!X91</f>
        <v>0</v>
      </c>
      <c r="U89">
        <f>'Rotor Model (SAE)'!Y91</f>
        <v>0</v>
      </c>
      <c r="V89">
        <f>'Rotor Model (SAE)'!Z91</f>
        <v>0</v>
      </c>
      <c r="W89">
        <f>'Rotor Model (SAE)'!AA91</f>
        <v>0</v>
      </c>
      <c r="X89">
        <f>'Rotor Model (SAE)'!AB91</f>
        <v>0</v>
      </c>
    </row>
    <row r="90" spans="1:24" x14ac:dyDescent="0.25">
      <c r="A90">
        <f>'Rotor Model (SAE)'!A92</f>
        <v>87</v>
      </c>
      <c r="B90" t="str">
        <f>IF('Rotor Model (SAE)'!B92&lt;&gt;"",'Rotor Model (SAE)'!B92,"")</f>
        <v/>
      </c>
      <c r="C90">
        <f>'Rotor Model (SAE)'!C92</f>
        <v>0</v>
      </c>
      <c r="D90">
        <f>'Rotor Model (SAE)'!D92</f>
        <v>0</v>
      </c>
      <c r="E90">
        <f>'Rotor Model (SAE)'!E92</f>
        <v>0</v>
      </c>
      <c r="F90">
        <f>'Rotor Model (SAE)'!F92</f>
        <v>0</v>
      </c>
      <c r="G90">
        <f>'Rotor Model (SAE)'!G92</f>
        <v>0</v>
      </c>
      <c r="H90">
        <f>'Rotor Model (SAE)'!I92</f>
        <v>30000000</v>
      </c>
      <c r="I90">
        <f>'Rotor Model (SAE)'!J92</f>
        <v>0.3</v>
      </c>
      <c r="J90">
        <f>'Rotor Model (SAE)'!H92</f>
        <v>0.28299999999999997</v>
      </c>
      <c r="K90">
        <f>'Rotor Model (SAE)'!O92</f>
        <v>0</v>
      </c>
      <c r="L90">
        <f>'Rotor Model (SAE)'!P92</f>
        <v>0</v>
      </c>
      <c r="M90">
        <f>'Rotor Model (SAE)'!Q92</f>
        <v>0</v>
      </c>
      <c r="N90">
        <f>'Rotor Model (SAE)'!R92</f>
        <v>0</v>
      </c>
      <c r="O90">
        <f>'Rotor Model (SAE)'!S92</f>
        <v>0</v>
      </c>
      <c r="P90">
        <f>'Rotor Model (SAE)'!T92</f>
        <v>0</v>
      </c>
      <c r="Q90">
        <f>'Rotor Model (SAE)'!U92</f>
        <v>0</v>
      </c>
      <c r="R90">
        <f>'Rotor Model (SAE)'!V92</f>
        <v>0</v>
      </c>
      <c r="S90">
        <f>'Rotor Model (SAE)'!W92</f>
        <v>0</v>
      </c>
      <c r="T90">
        <f>'Rotor Model (SAE)'!X92</f>
        <v>0</v>
      </c>
      <c r="U90">
        <f>'Rotor Model (SAE)'!Y92</f>
        <v>0</v>
      </c>
      <c r="V90">
        <f>'Rotor Model (SAE)'!Z92</f>
        <v>0</v>
      </c>
      <c r="W90">
        <f>'Rotor Model (SAE)'!AA92</f>
        <v>0</v>
      </c>
      <c r="X90">
        <f>'Rotor Model (SAE)'!AB92</f>
        <v>0</v>
      </c>
    </row>
    <row r="91" spans="1:24" x14ac:dyDescent="0.25">
      <c r="A91">
        <f>'Rotor Model (SAE)'!A93</f>
        <v>88</v>
      </c>
      <c r="B91" t="str">
        <f>IF('Rotor Model (SAE)'!B93&lt;&gt;"",'Rotor Model (SAE)'!B93,"")</f>
        <v/>
      </c>
      <c r="C91">
        <f>'Rotor Model (SAE)'!C93</f>
        <v>0</v>
      </c>
      <c r="D91">
        <f>'Rotor Model (SAE)'!D93</f>
        <v>0</v>
      </c>
      <c r="E91">
        <f>'Rotor Model (SAE)'!E93</f>
        <v>0</v>
      </c>
      <c r="F91">
        <f>'Rotor Model (SAE)'!F93</f>
        <v>0</v>
      </c>
      <c r="G91">
        <f>'Rotor Model (SAE)'!G93</f>
        <v>0</v>
      </c>
      <c r="H91">
        <f>'Rotor Model (SAE)'!I93</f>
        <v>30000000</v>
      </c>
      <c r="I91">
        <f>'Rotor Model (SAE)'!J93</f>
        <v>0.3</v>
      </c>
      <c r="J91">
        <f>'Rotor Model (SAE)'!H93</f>
        <v>0.28299999999999997</v>
      </c>
      <c r="K91">
        <f>'Rotor Model (SAE)'!O93</f>
        <v>0</v>
      </c>
      <c r="L91">
        <f>'Rotor Model (SAE)'!P93</f>
        <v>0</v>
      </c>
      <c r="M91">
        <f>'Rotor Model (SAE)'!Q93</f>
        <v>0</v>
      </c>
      <c r="N91">
        <f>'Rotor Model (SAE)'!R93</f>
        <v>0</v>
      </c>
      <c r="O91">
        <f>'Rotor Model (SAE)'!S93</f>
        <v>0</v>
      </c>
      <c r="P91">
        <f>'Rotor Model (SAE)'!T93</f>
        <v>0</v>
      </c>
      <c r="Q91">
        <f>'Rotor Model (SAE)'!U93</f>
        <v>0</v>
      </c>
      <c r="R91">
        <f>'Rotor Model (SAE)'!V93</f>
        <v>0</v>
      </c>
      <c r="S91">
        <f>'Rotor Model (SAE)'!W93</f>
        <v>0</v>
      </c>
      <c r="T91">
        <f>'Rotor Model (SAE)'!X93</f>
        <v>0</v>
      </c>
      <c r="U91">
        <f>'Rotor Model (SAE)'!Y93</f>
        <v>0</v>
      </c>
      <c r="V91">
        <f>'Rotor Model (SAE)'!Z93</f>
        <v>0</v>
      </c>
      <c r="W91">
        <f>'Rotor Model (SAE)'!AA93</f>
        <v>0</v>
      </c>
      <c r="X91">
        <f>'Rotor Model (SAE)'!AB93</f>
        <v>0</v>
      </c>
    </row>
    <row r="92" spans="1:24" x14ac:dyDescent="0.25">
      <c r="A92">
        <f>'Rotor Model (SAE)'!A94</f>
        <v>89</v>
      </c>
      <c r="B92" t="str">
        <f>IF('Rotor Model (SAE)'!B94&lt;&gt;"",'Rotor Model (SAE)'!B94,"")</f>
        <v/>
      </c>
      <c r="C92">
        <f>'Rotor Model (SAE)'!C94</f>
        <v>0</v>
      </c>
      <c r="D92">
        <f>'Rotor Model (SAE)'!D94</f>
        <v>0</v>
      </c>
      <c r="E92">
        <f>'Rotor Model (SAE)'!E94</f>
        <v>0</v>
      </c>
      <c r="F92">
        <f>'Rotor Model (SAE)'!F94</f>
        <v>0</v>
      </c>
      <c r="G92">
        <f>'Rotor Model (SAE)'!G94</f>
        <v>0</v>
      </c>
      <c r="H92">
        <f>'Rotor Model (SAE)'!I94</f>
        <v>30000000</v>
      </c>
      <c r="I92">
        <f>'Rotor Model (SAE)'!J94</f>
        <v>0.3</v>
      </c>
      <c r="J92">
        <f>'Rotor Model (SAE)'!H94</f>
        <v>0.28299999999999997</v>
      </c>
      <c r="K92">
        <f>'Rotor Model (SAE)'!O94</f>
        <v>0</v>
      </c>
      <c r="L92">
        <f>'Rotor Model (SAE)'!P94</f>
        <v>0</v>
      </c>
      <c r="M92">
        <f>'Rotor Model (SAE)'!Q94</f>
        <v>0</v>
      </c>
      <c r="N92">
        <f>'Rotor Model (SAE)'!R94</f>
        <v>0</v>
      </c>
      <c r="O92">
        <f>'Rotor Model (SAE)'!S94</f>
        <v>0</v>
      </c>
      <c r="P92">
        <f>'Rotor Model (SAE)'!T94</f>
        <v>0</v>
      </c>
      <c r="Q92">
        <f>'Rotor Model (SAE)'!U94</f>
        <v>0</v>
      </c>
      <c r="R92">
        <f>'Rotor Model (SAE)'!V94</f>
        <v>0</v>
      </c>
      <c r="S92">
        <f>'Rotor Model (SAE)'!W94</f>
        <v>0</v>
      </c>
      <c r="T92">
        <f>'Rotor Model (SAE)'!X94</f>
        <v>0</v>
      </c>
      <c r="U92">
        <f>'Rotor Model (SAE)'!Y94</f>
        <v>0</v>
      </c>
      <c r="V92">
        <f>'Rotor Model (SAE)'!Z94</f>
        <v>0</v>
      </c>
      <c r="W92">
        <f>'Rotor Model (SAE)'!AA94</f>
        <v>0</v>
      </c>
      <c r="X92">
        <f>'Rotor Model (SAE)'!AB94</f>
        <v>0</v>
      </c>
    </row>
    <row r="93" spans="1:24" x14ac:dyDescent="0.25">
      <c r="A93">
        <f>'Rotor Model (SAE)'!A95</f>
        <v>90</v>
      </c>
      <c r="B93" t="str">
        <f>IF('Rotor Model (SAE)'!B95&lt;&gt;"",'Rotor Model (SAE)'!B95,"")</f>
        <v/>
      </c>
      <c r="C93">
        <f>'Rotor Model (SAE)'!C95</f>
        <v>0</v>
      </c>
      <c r="D93">
        <f>'Rotor Model (SAE)'!D95</f>
        <v>0</v>
      </c>
      <c r="E93">
        <f>'Rotor Model (SAE)'!E95</f>
        <v>0</v>
      </c>
      <c r="F93">
        <f>'Rotor Model (SAE)'!F95</f>
        <v>0</v>
      </c>
      <c r="G93">
        <f>'Rotor Model (SAE)'!G95</f>
        <v>0</v>
      </c>
      <c r="H93">
        <f>'Rotor Model (SAE)'!I95</f>
        <v>30000000</v>
      </c>
      <c r="I93">
        <f>'Rotor Model (SAE)'!J95</f>
        <v>0.3</v>
      </c>
      <c r="J93">
        <f>'Rotor Model (SAE)'!H95</f>
        <v>0.28299999999999997</v>
      </c>
      <c r="K93">
        <f>'Rotor Model (SAE)'!O95</f>
        <v>0</v>
      </c>
      <c r="L93">
        <f>'Rotor Model (SAE)'!P95</f>
        <v>0</v>
      </c>
      <c r="M93">
        <f>'Rotor Model (SAE)'!Q95</f>
        <v>0</v>
      </c>
      <c r="N93">
        <f>'Rotor Model (SAE)'!R95</f>
        <v>0</v>
      </c>
      <c r="O93">
        <f>'Rotor Model (SAE)'!S95</f>
        <v>0</v>
      </c>
      <c r="P93">
        <f>'Rotor Model (SAE)'!T95</f>
        <v>0</v>
      </c>
      <c r="Q93">
        <f>'Rotor Model (SAE)'!U95</f>
        <v>0</v>
      </c>
      <c r="R93">
        <f>'Rotor Model (SAE)'!V95</f>
        <v>0</v>
      </c>
      <c r="S93">
        <f>'Rotor Model (SAE)'!W95</f>
        <v>0</v>
      </c>
      <c r="T93">
        <f>'Rotor Model (SAE)'!X95</f>
        <v>0</v>
      </c>
      <c r="U93">
        <f>'Rotor Model (SAE)'!Y95</f>
        <v>0</v>
      </c>
      <c r="V93">
        <f>'Rotor Model (SAE)'!Z95</f>
        <v>0</v>
      </c>
      <c r="W93">
        <f>'Rotor Model (SAE)'!AA95</f>
        <v>0</v>
      </c>
      <c r="X93">
        <f>'Rotor Model (SAE)'!AB95</f>
        <v>0</v>
      </c>
    </row>
    <row r="94" spans="1:24" x14ac:dyDescent="0.25">
      <c r="A94">
        <f>'Rotor Model (SAE)'!A96</f>
        <v>91</v>
      </c>
      <c r="B94" t="str">
        <f>IF('Rotor Model (SAE)'!B96&lt;&gt;"",'Rotor Model (SAE)'!B96,"")</f>
        <v/>
      </c>
      <c r="C94">
        <f>'Rotor Model (SAE)'!C96</f>
        <v>0</v>
      </c>
      <c r="D94">
        <f>'Rotor Model (SAE)'!D96</f>
        <v>0</v>
      </c>
      <c r="E94">
        <f>'Rotor Model (SAE)'!E96</f>
        <v>0</v>
      </c>
      <c r="F94">
        <f>'Rotor Model (SAE)'!F96</f>
        <v>0</v>
      </c>
      <c r="G94">
        <f>'Rotor Model (SAE)'!G96</f>
        <v>0</v>
      </c>
      <c r="H94">
        <f>'Rotor Model (SAE)'!I96</f>
        <v>30000000</v>
      </c>
      <c r="I94">
        <f>'Rotor Model (SAE)'!J96</f>
        <v>0.3</v>
      </c>
      <c r="J94">
        <f>'Rotor Model (SAE)'!H96</f>
        <v>0.28299999999999997</v>
      </c>
      <c r="K94">
        <f>'Rotor Model (SAE)'!O96</f>
        <v>0</v>
      </c>
      <c r="L94">
        <f>'Rotor Model (SAE)'!P96</f>
        <v>0</v>
      </c>
      <c r="M94">
        <f>'Rotor Model (SAE)'!Q96</f>
        <v>0</v>
      </c>
      <c r="N94">
        <f>'Rotor Model (SAE)'!R96</f>
        <v>0</v>
      </c>
      <c r="O94">
        <f>'Rotor Model (SAE)'!S96</f>
        <v>0</v>
      </c>
      <c r="P94">
        <f>'Rotor Model (SAE)'!T96</f>
        <v>0</v>
      </c>
      <c r="Q94">
        <f>'Rotor Model (SAE)'!U96</f>
        <v>0</v>
      </c>
      <c r="R94">
        <f>'Rotor Model (SAE)'!V96</f>
        <v>0</v>
      </c>
      <c r="S94">
        <f>'Rotor Model (SAE)'!W96</f>
        <v>0</v>
      </c>
      <c r="T94">
        <f>'Rotor Model (SAE)'!X96</f>
        <v>0</v>
      </c>
      <c r="U94">
        <f>'Rotor Model (SAE)'!Y96</f>
        <v>0</v>
      </c>
      <c r="V94">
        <f>'Rotor Model (SAE)'!Z96</f>
        <v>0</v>
      </c>
      <c r="W94">
        <f>'Rotor Model (SAE)'!AA96</f>
        <v>0</v>
      </c>
      <c r="X94">
        <f>'Rotor Model (SAE)'!AB96</f>
        <v>0</v>
      </c>
    </row>
    <row r="95" spans="1:24" x14ac:dyDescent="0.25">
      <c r="A95">
        <f>'Rotor Model (SAE)'!A97</f>
        <v>92</v>
      </c>
      <c r="B95" t="str">
        <f>IF('Rotor Model (SAE)'!B97&lt;&gt;"",'Rotor Model (SAE)'!B97,"")</f>
        <v/>
      </c>
      <c r="C95">
        <f>'Rotor Model (SAE)'!C97</f>
        <v>0</v>
      </c>
      <c r="D95">
        <f>'Rotor Model (SAE)'!D97</f>
        <v>0</v>
      </c>
      <c r="E95">
        <f>'Rotor Model (SAE)'!E97</f>
        <v>0</v>
      </c>
      <c r="F95">
        <f>'Rotor Model (SAE)'!F97</f>
        <v>0</v>
      </c>
      <c r="G95">
        <f>'Rotor Model (SAE)'!G97</f>
        <v>0</v>
      </c>
      <c r="H95">
        <f>'Rotor Model (SAE)'!I97</f>
        <v>30000000</v>
      </c>
      <c r="I95">
        <f>'Rotor Model (SAE)'!J97</f>
        <v>0.3</v>
      </c>
      <c r="J95">
        <f>'Rotor Model (SAE)'!H97</f>
        <v>0.28299999999999997</v>
      </c>
      <c r="K95">
        <f>'Rotor Model (SAE)'!O97</f>
        <v>0</v>
      </c>
      <c r="L95">
        <f>'Rotor Model (SAE)'!P97</f>
        <v>0</v>
      </c>
      <c r="M95">
        <f>'Rotor Model (SAE)'!Q97</f>
        <v>0</v>
      </c>
      <c r="N95">
        <f>'Rotor Model (SAE)'!R97</f>
        <v>0</v>
      </c>
      <c r="O95">
        <f>'Rotor Model (SAE)'!S97</f>
        <v>0</v>
      </c>
      <c r="P95">
        <f>'Rotor Model (SAE)'!T97</f>
        <v>0</v>
      </c>
      <c r="Q95">
        <f>'Rotor Model (SAE)'!U97</f>
        <v>0</v>
      </c>
      <c r="R95">
        <f>'Rotor Model (SAE)'!V97</f>
        <v>0</v>
      </c>
      <c r="S95">
        <f>'Rotor Model (SAE)'!W97</f>
        <v>0</v>
      </c>
      <c r="T95">
        <f>'Rotor Model (SAE)'!X97</f>
        <v>0</v>
      </c>
      <c r="U95">
        <f>'Rotor Model (SAE)'!Y97</f>
        <v>0</v>
      </c>
      <c r="V95">
        <f>'Rotor Model (SAE)'!Z97</f>
        <v>0</v>
      </c>
      <c r="W95">
        <f>'Rotor Model (SAE)'!AA97</f>
        <v>0</v>
      </c>
      <c r="X95">
        <f>'Rotor Model (SAE)'!AB97</f>
        <v>0</v>
      </c>
    </row>
    <row r="96" spans="1:24" x14ac:dyDescent="0.25">
      <c r="B96" t="str">
        <f>IF('Rotor Model (SAE)'!B98&lt;&gt;"",'Rotor Model (SAE)'!B98,"")</f>
        <v/>
      </c>
    </row>
    <row r="97" spans="2:2" x14ac:dyDescent="0.25">
      <c r="B97" t="str">
        <f>IF('Rotor Model (SAE)'!B99&lt;&gt;"",'Rotor Model (SAE)'!B99,"")</f>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1FC6-E2B8-479E-8D98-30ACC416F20D}">
  <sheetPr codeName="Sheet4"/>
  <dimension ref="A1:L71"/>
  <sheetViews>
    <sheetView tabSelected="1" workbookViewId="0">
      <selection activeCell="C17" sqref="C17"/>
    </sheetView>
  </sheetViews>
  <sheetFormatPr defaultRowHeight="13.2" x14ac:dyDescent="0.25"/>
  <cols>
    <col min="1" max="1" width="15.5546875" bestFit="1" customWidth="1"/>
    <col min="2" max="2" width="14.109375" bestFit="1" customWidth="1"/>
    <col min="3" max="3" width="13.109375" bestFit="1" customWidth="1"/>
    <col min="4" max="4" width="12" bestFit="1" customWidth="1"/>
    <col min="6" max="6" width="9.5546875" customWidth="1"/>
    <col min="7" max="7" width="11.33203125" customWidth="1"/>
    <col min="12" max="12" width="9.21875" customWidth="1"/>
  </cols>
  <sheetData>
    <row r="1" spans="1:6" x14ac:dyDescent="0.25">
      <c r="A1" t="s">
        <v>243</v>
      </c>
    </row>
    <row r="2" spans="1:6" ht="16.2" customHeight="1" x14ac:dyDescent="0.25">
      <c r="A2" s="64" t="s">
        <v>258</v>
      </c>
      <c r="B2" s="96">
        <v>4</v>
      </c>
      <c r="C2" s="96"/>
      <c r="D2" s="122"/>
      <c r="E2" s="122"/>
    </row>
    <row r="3" spans="1:6" x14ac:dyDescent="0.25">
      <c r="A3" s="64" t="s">
        <v>259</v>
      </c>
      <c r="B3" s="25">
        <v>44</v>
      </c>
      <c r="C3" s="25"/>
      <c r="D3" s="25"/>
      <c r="E3" s="25"/>
      <c r="F3" s="96"/>
    </row>
    <row r="4" spans="1:6" x14ac:dyDescent="0.25">
      <c r="A4" s="25"/>
      <c r="B4" s="111"/>
      <c r="C4" s="111"/>
      <c r="D4" s="111"/>
      <c r="E4" s="111" t="str">
        <f>'Rotor Export'!B5</f>
        <v/>
      </c>
      <c r="F4" s="112"/>
    </row>
    <row r="5" spans="1:6" x14ac:dyDescent="0.25">
      <c r="A5" s="25"/>
      <c r="B5" s="111"/>
      <c r="C5" s="111"/>
      <c r="D5" s="111"/>
      <c r="E5" s="111"/>
      <c r="F5" s="112"/>
    </row>
    <row r="6" spans="1:6" x14ac:dyDescent="0.25">
      <c r="A6" s="25"/>
      <c r="B6" s="111"/>
      <c r="C6" s="111"/>
      <c r="D6" s="111"/>
      <c r="E6" s="111"/>
      <c r="F6" s="112"/>
    </row>
    <row r="7" spans="1:6" x14ac:dyDescent="0.25">
      <c r="A7" s="25"/>
      <c r="B7" s="111"/>
      <c r="C7" s="111"/>
      <c r="D7" s="111"/>
      <c r="E7" s="111"/>
      <c r="F7" s="112"/>
    </row>
    <row r="9" spans="1:6" x14ac:dyDescent="0.25">
      <c r="A9" s="25"/>
      <c r="B9" s="116" t="s">
        <v>111</v>
      </c>
      <c r="C9" s="96"/>
      <c r="D9" s="25"/>
      <c r="E9" s="25"/>
    </row>
    <row r="10" spans="1:6" x14ac:dyDescent="0.25">
      <c r="A10" s="25" t="s">
        <v>244</v>
      </c>
      <c r="B10" s="113" t="s">
        <v>260</v>
      </c>
      <c r="C10" s="64" t="s">
        <v>261</v>
      </c>
      <c r="D10" s="64" t="s">
        <v>262</v>
      </c>
      <c r="E10" s="25"/>
      <c r="F10" s="96"/>
    </row>
    <row r="11" spans="1:6" x14ac:dyDescent="0.25">
      <c r="A11" s="25">
        <f>1</f>
        <v>1</v>
      </c>
      <c r="B11" s="119">
        <v>224.04904702250246</v>
      </c>
      <c r="C11" s="114">
        <v>220.41</v>
      </c>
      <c r="D11" s="115">
        <f>(C11-B11)/C11</f>
        <v>-1.6510353534333593E-2</v>
      </c>
      <c r="E11" s="111"/>
      <c r="F11" s="112"/>
    </row>
    <row r="12" spans="1:6" x14ac:dyDescent="0.25">
      <c r="A12" s="25">
        <f>A11+1</f>
        <v>2</v>
      </c>
      <c r="B12" s="119">
        <v>562.92418602483849</v>
      </c>
      <c r="C12" s="114">
        <v>546.83000000000004</v>
      </c>
      <c r="D12" s="115">
        <f t="shared" ref="D12:D14" si="0">(C12-B12)/C12</f>
        <v>-2.9431790547041033E-2</v>
      </c>
      <c r="E12" s="111"/>
      <c r="F12" s="112"/>
    </row>
    <row r="13" spans="1:6" x14ac:dyDescent="0.25">
      <c r="A13" s="25">
        <f t="shared" ref="A13:A18" si="1">A12+1</f>
        <v>3</v>
      </c>
      <c r="B13" s="119">
        <v>1151.7793626655205</v>
      </c>
      <c r="C13" s="114">
        <v>987.52</v>
      </c>
      <c r="D13" s="115">
        <f t="shared" si="0"/>
        <v>-0.16633522628961489</v>
      </c>
      <c r="E13" s="111"/>
      <c r="F13" s="112"/>
    </row>
    <row r="14" spans="1:6" x14ac:dyDescent="0.25">
      <c r="A14" s="25">
        <f t="shared" si="1"/>
        <v>4</v>
      </c>
      <c r="B14" s="119">
        <v>1829.1109256889551</v>
      </c>
      <c r="C14" s="114">
        <v>1503.4</v>
      </c>
      <c r="D14" s="115">
        <f t="shared" si="0"/>
        <v>-0.21664954482436813</v>
      </c>
      <c r="E14" s="111"/>
      <c r="F14" s="112"/>
    </row>
    <row r="15" spans="1:6" x14ac:dyDescent="0.25">
      <c r="A15" s="25"/>
      <c r="B15" s="117"/>
    </row>
    <row r="16" spans="1:6" x14ac:dyDescent="0.25">
      <c r="A16" s="25"/>
      <c r="B16" s="118"/>
      <c r="C16" s="96"/>
      <c r="D16" s="25"/>
      <c r="E16" s="25"/>
    </row>
    <row r="17" spans="1:3" x14ac:dyDescent="0.25">
      <c r="A17" s="25"/>
    </row>
    <row r="18" spans="1:3" ht="13.2" hidden="1" customHeight="1" x14ac:dyDescent="0.25">
      <c r="A18" s="25">
        <f t="shared" si="1"/>
        <v>1</v>
      </c>
    </row>
    <row r="19" spans="1:3" x14ac:dyDescent="0.25">
      <c r="A19" s="25"/>
    </row>
    <row r="25" spans="1:3" x14ac:dyDescent="0.25">
      <c r="A25" s="8" t="s">
        <v>263</v>
      </c>
    </row>
    <row r="26" spans="1:3" x14ac:dyDescent="0.25">
      <c r="A26" s="120" t="s">
        <v>264</v>
      </c>
      <c r="B26" s="8" t="s">
        <v>265</v>
      </c>
      <c r="C26" s="8" t="s">
        <v>266</v>
      </c>
    </row>
    <row r="27" spans="1:3" x14ac:dyDescent="0.25">
      <c r="A27" s="121">
        <v>0.53400000000000003</v>
      </c>
      <c r="B27">
        <v>-7.888866418007076E-14</v>
      </c>
    </row>
    <row r="28" spans="1:3" x14ac:dyDescent="0.25">
      <c r="A28" s="121">
        <v>1.256</v>
      </c>
      <c r="B28">
        <v>2.1339773415534111E-10</v>
      </c>
    </row>
    <row r="29" spans="1:3" x14ac:dyDescent="0.25">
      <c r="A29" s="121">
        <v>2.3685</v>
      </c>
      <c r="B29">
        <v>-7.1652044113768523E-14</v>
      </c>
    </row>
    <row r="30" spans="1:3" ht="14.4" customHeight="1" x14ac:dyDescent="0.25">
      <c r="A30" s="121">
        <v>3.4809999999999999</v>
      </c>
      <c r="B30">
        <v>1.4629166144728307E-10</v>
      </c>
    </row>
    <row r="31" spans="1:3" x14ac:dyDescent="0.25">
      <c r="A31" s="121">
        <v>4.1059999999999999</v>
      </c>
      <c r="B31">
        <v>-6.5421378781860659E-14</v>
      </c>
    </row>
    <row r="32" spans="1:3" x14ac:dyDescent="0.25">
      <c r="A32" s="121">
        <v>4.7309999999999999</v>
      </c>
      <c r="B32">
        <v>1.0326417407987772E-10</v>
      </c>
    </row>
    <row r="33" spans="1:12" x14ac:dyDescent="0.25">
      <c r="A33" s="121">
        <v>6.2309999999999999</v>
      </c>
      <c r="B33">
        <v>5.2055100724039633E-15</v>
      </c>
    </row>
    <row r="34" spans="1:12" x14ac:dyDescent="0.25">
      <c r="A34" s="121">
        <v>7.7309999999999999</v>
      </c>
      <c r="B34">
        <v>9.2460891497949313E-11</v>
      </c>
    </row>
    <row r="35" spans="1:12" x14ac:dyDescent="0.25">
      <c r="A35" s="121">
        <v>8.9809999999999999</v>
      </c>
      <c r="B35">
        <v>9.1066048506980736E-14</v>
      </c>
    </row>
    <row r="36" spans="1:12" x14ac:dyDescent="0.25">
      <c r="A36" s="121">
        <v>9.7309999999999999</v>
      </c>
      <c r="B36">
        <v>1.1014225088351235E-10</v>
      </c>
    </row>
    <row r="37" spans="1:12" ht="11.4" customHeight="1" x14ac:dyDescent="0.25">
      <c r="A37" s="121">
        <v>11.481</v>
      </c>
      <c r="B37">
        <v>6.1342106752776546E-14</v>
      </c>
    </row>
    <row r="38" spans="1:12" ht="12.6" customHeight="1" x14ac:dyDescent="0.25">
      <c r="A38" s="121">
        <v>13.231</v>
      </c>
      <c r="B38" s="96">
        <v>1.73729607651729E-10</v>
      </c>
      <c r="D38" s="25"/>
      <c r="E38" s="25"/>
    </row>
    <row r="39" spans="1:12" x14ac:dyDescent="0.25">
      <c r="A39" s="121">
        <v>13.331</v>
      </c>
      <c r="B39" s="25">
        <v>-7.5101010886289895E-14</v>
      </c>
      <c r="D39" s="25"/>
      <c r="E39" s="25"/>
      <c r="F39" s="96"/>
    </row>
    <row r="40" spans="1:12" x14ac:dyDescent="0.25">
      <c r="A40" s="121">
        <v>13.831</v>
      </c>
      <c r="B40" s="111">
        <v>1.7639203528416114E-10</v>
      </c>
      <c r="D40" s="111"/>
      <c r="E40" s="111"/>
      <c r="F40" s="112"/>
    </row>
    <row r="41" spans="1:12" x14ac:dyDescent="0.25">
      <c r="A41" s="121">
        <v>14.331</v>
      </c>
      <c r="B41" s="111">
        <v>5.0463906397251051E-15</v>
      </c>
      <c r="D41" s="111"/>
      <c r="E41" s="111"/>
      <c r="F41" s="112"/>
    </row>
    <row r="42" spans="1:12" x14ac:dyDescent="0.25">
      <c r="A42" s="121">
        <v>15.485999999999999</v>
      </c>
      <c r="B42" s="111">
        <v>1.6814381201186312E-10</v>
      </c>
      <c r="D42" s="111"/>
      <c r="E42" s="111"/>
      <c r="F42" s="112"/>
    </row>
    <row r="43" spans="1:12" x14ac:dyDescent="0.25">
      <c r="A43" s="121">
        <v>16.640999999999998</v>
      </c>
      <c r="B43" s="111">
        <v>1.435076536017281E-13</v>
      </c>
      <c r="D43" s="111"/>
      <c r="E43" s="111"/>
      <c r="F43" s="112"/>
    </row>
    <row r="44" spans="1:12" x14ac:dyDescent="0.25">
      <c r="A44" s="121">
        <v>17.795999999999999</v>
      </c>
      <c r="B44">
        <v>1.907085632810817E-10</v>
      </c>
    </row>
    <row r="45" spans="1:12" ht="12.6" customHeight="1" x14ac:dyDescent="0.25">
      <c r="A45" s="121">
        <v>18.951000000000001</v>
      </c>
      <c r="B45" s="96">
        <v>2.6091583018456E-13</v>
      </c>
      <c r="D45" s="25"/>
      <c r="E45" s="25"/>
    </row>
    <row r="46" spans="1:12" ht="13.2" customHeight="1" x14ac:dyDescent="0.25">
      <c r="A46" s="121">
        <v>19.337</v>
      </c>
      <c r="B46" s="96">
        <v>2.6287879951009996E-10</v>
      </c>
      <c r="D46" s="25"/>
      <c r="E46" s="25"/>
    </row>
    <row r="47" spans="1:12" ht="12.6" customHeight="1" x14ac:dyDescent="0.25">
      <c r="A47" s="121">
        <v>20.1995</v>
      </c>
      <c r="B47" s="96">
        <v>-1.0544255349678009E-13</v>
      </c>
      <c r="D47" s="25"/>
      <c r="E47" s="25"/>
    </row>
    <row r="48" spans="1:12" x14ac:dyDescent="0.25">
      <c r="A48" s="121">
        <v>21.062000000000001</v>
      </c>
      <c r="B48" s="25">
        <v>3.4518885069895296E-10</v>
      </c>
      <c r="D48" s="25"/>
      <c r="E48" s="25"/>
      <c r="F48" s="96"/>
      <c r="G48" s="96"/>
      <c r="I48" s="96"/>
      <c r="J48" s="96"/>
      <c r="K48" s="96"/>
      <c r="L48" s="96"/>
    </row>
    <row r="49" spans="1:12" x14ac:dyDescent="0.25">
      <c r="A49" s="121">
        <v>22.312000000000001</v>
      </c>
      <c r="B49" s="111">
        <v>1.5595265580016276E-13</v>
      </c>
      <c r="D49" s="111"/>
      <c r="E49" s="111"/>
      <c r="F49" s="112"/>
      <c r="G49" s="112"/>
      <c r="I49" s="25"/>
      <c r="J49" s="111"/>
      <c r="K49" s="111"/>
      <c r="L49" s="112"/>
    </row>
    <row r="50" spans="1:12" x14ac:dyDescent="0.25">
      <c r="A50" s="121">
        <v>23.562000000000001</v>
      </c>
      <c r="B50" s="111">
        <v>3.5590592965298985E-10</v>
      </c>
      <c r="D50" s="111"/>
      <c r="E50" s="111"/>
      <c r="F50" s="112"/>
      <c r="G50" s="112"/>
      <c r="I50" s="25"/>
      <c r="J50" s="111"/>
      <c r="K50" s="111"/>
      <c r="L50" s="112"/>
    </row>
    <row r="51" spans="1:12" x14ac:dyDescent="0.25">
      <c r="A51" s="121">
        <v>24.812000000000001</v>
      </c>
      <c r="B51" s="111">
        <v>5.5539395934849648E-13</v>
      </c>
      <c r="D51" s="111"/>
      <c r="E51" s="111"/>
      <c r="F51" s="112"/>
      <c r="G51" s="112"/>
      <c r="I51" s="25"/>
      <c r="J51" s="111"/>
      <c r="K51" s="111"/>
      <c r="L51" s="112"/>
    </row>
    <row r="52" spans="1:12" x14ac:dyDescent="0.25">
      <c r="A52" s="121">
        <v>26.062000000000001</v>
      </c>
      <c r="B52" s="111">
        <v>4.4557391041358874E-10</v>
      </c>
      <c r="D52" s="111"/>
      <c r="E52" s="111"/>
      <c r="F52" s="112"/>
      <c r="G52" s="112"/>
      <c r="I52" s="25"/>
      <c r="J52" s="111"/>
      <c r="K52" s="111"/>
      <c r="L52" s="112"/>
    </row>
    <row r="53" spans="1:12" x14ac:dyDescent="0.25">
      <c r="A53" s="121">
        <v>27.062000000000001</v>
      </c>
      <c r="B53">
        <v>1.9866658954916614E-13</v>
      </c>
    </row>
    <row r="54" spans="1:12" x14ac:dyDescent="0.25">
      <c r="A54" s="121">
        <v>28.062000000000001</v>
      </c>
      <c r="B54">
        <v>-1.094054140949559E-10</v>
      </c>
    </row>
    <row r="55" spans="1:12" x14ac:dyDescent="0.25">
      <c r="A55" s="121">
        <v>29.062000000000001</v>
      </c>
      <c r="B55">
        <v>2.0116268945603396E-13</v>
      </c>
    </row>
    <row r="56" spans="1:12" x14ac:dyDescent="0.25">
      <c r="A56" s="121">
        <v>30.062000000000001</v>
      </c>
      <c r="B56">
        <v>8.3668939088676885E-11</v>
      </c>
    </row>
    <row r="57" spans="1:12" x14ac:dyDescent="0.25">
      <c r="A57" s="121">
        <v>31.217000000000002</v>
      </c>
      <c r="B57">
        <v>2.4661506298515172E-13</v>
      </c>
    </row>
    <row r="58" spans="1:12" x14ac:dyDescent="0.25">
      <c r="A58" s="121">
        <v>31.627000000000002</v>
      </c>
      <c r="B58">
        <v>2.9287819466063659E-10</v>
      </c>
    </row>
    <row r="59" spans="1:12" x14ac:dyDescent="0.25">
      <c r="A59" s="121">
        <v>32.583000000000006</v>
      </c>
      <c r="B59">
        <v>3.6598244524166738E-13</v>
      </c>
    </row>
    <row r="60" spans="1:12" x14ac:dyDescent="0.25">
      <c r="A60" s="121">
        <v>33.539000000000009</v>
      </c>
      <c r="B60">
        <v>4.2731662889889027E-10</v>
      </c>
    </row>
    <row r="61" spans="1:12" x14ac:dyDescent="0.25">
      <c r="A61" s="121">
        <v>34.725500000000011</v>
      </c>
      <c r="B61">
        <v>3.9797415299658626E-13</v>
      </c>
    </row>
    <row r="62" spans="1:12" x14ac:dyDescent="0.25">
      <c r="A62" s="121">
        <v>35.912000000000013</v>
      </c>
      <c r="B62">
        <v>5.8600624535818187E-10</v>
      </c>
    </row>
    <row r="63" spans="1:12" x14ac:dyDescent="0.25">
      <c r="A63" s="121">
        <v>36.537000000000013</v>
      </c>
      <c r="B63">
        <v>5.9361064485431035E-13</v>
      </c>
    </row>
    <row r="64" spans="1:12" x14ac:dyDescent="0.25">
      <c r="A64" s="121">
        <v>37.162000000000013</v>
      </c>
      <c r="B64">
        <v>7.8132998557698512E-10</v>
      </c>
    </row>
    <row r="65" spans="1:2" x14ac:dyDescent="0.25">
      <c r="A65" s="121">
        <v>38.27450000000001</v>
      </c>
      <c r="B65">
        <v>2.0540878911105002E-12</v>
      </c>
    </row>
    <row r="66" spans="1:2" x14ac:dyDescent="0.25">
      <c r="A66" s="121">
        <v>39.387000000000008</v>
      </c>
      <c r="B66">
        <v>1.2532015075049452E-9</v>
      </c>
    </row>
    <row r="67" spans="1:2" x14ac:dyDescent="0.25">
      <c r="A67" s="121">
        <v>40.107500000000009</v>
      </c>
      <c r="B67">
        <v>3.7449906188459677E-14</v>
      </c>
    </row>
    <row r="68" spans="1:2" x14ac:dyDescent="0.25">
      <c r="A68" s="121">
        <v>40.640000000000008</v>
      </c>
      <c r="B68">
        <v>4.1256530788159511E-9</v>
      </c>
    </row>
    <row r="69" spans="1:2" x14ac:dyDescent="0.25">
      <c r="A69" s="121">
        <v>40.890000000000008</v>
      </c>
      <c r="B69">
        <v>-3.0009640486454093E-13</v>
      </c>
    </row>
    <row r="70" spans="1:2" x14ac:dyDescent="0.25">
      <c r="A70" s="121">
        <v>42.07800000000001</v>
      </c>
      <c r="B70">
        <v>4.0504670145811823E-9</v>
      </c>
    </row>
    <row r="71" spans="1:2" x14ac:dyDescent="0.25">
      <c r="A71" s="63"/>
    </row>
  </sheetData>
  <mergeCells count="1">
    <mergeCell ref="D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0</xdr:col>
                    <xdr:colOff>830580</xdr:colOff>
                    <xdr:row>4</xdr:row>
                    <xdr:rowOff>53340</xdr:rowOff>
                  </from>
                  <to>
                    <xdr:col>3</xdr:col>
                    <xdr:colOff>76200</xdr:colOff>
                    <xdr:row>7</xdr:row>
                    <xdr:rowOff>121920</xdr:rowOff>
                  </to>
                </anchor>
              </controlPr>
            </control>
          </mc:Choice>
        </mc:AlternateContent>
        <mc:AlternateContent xmlns:mc="http://schemas.openxmlformats.org/markup-compatibility/2006">
          <mc:Choice Requires="x14">
            <control shapeId="1026" r:id="rId4" name="Button 2">
              <controlPr defaultSize="0" print="0" autoFill="0" autoPict="0" macro="[0]!Modecomparison_Button2_Click">
                <anchor moveWithCells="1" sizeWithCells="1">
                  <from>
                    <xdr:col>3</xdr:col>
                    <xdr:colOff>99060</xdr:colOff>
                    <xdr:row>4</xdr:row>
                    <xdr:rowOff>45720</xdr:rowOff>
                  </from>
                  <to>
                    <xdr:col>6</xdr:col>
                    <xdr:colOff>281940</xdr:colOff>
                    <xdr:row>7</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Q43"/>
  <sheetViews>
    <sheetView topLeftCell="A6" zoomScaleNormal="100" workbookViewId="0">
      <selection activeCell="B6" sqref="B6"/>
    </sheetView>
  </sheetViews>
  <sheetFormatPr defaultRowHeight="13.2" x14ac:dyDescent="0.25"/>
  <cols>
    <col min="1" max="1" width="24" customWidth="1"/>
    <col min="2" max="2" width="10.33203125" bestFit="1" customWidth="1"/>
    <col min="6" max="6" width="11.33203125" bestFit="1" customWidth="1"/>
    <col min="8" max="8" width="8.44140625" customWidth="1"/>
    <col min="9" max="9" width="11.109375" customWidth="1"/>
    <col min="10" max="10" width="13.44140625" customWidth="1"/>
    <col min="11" max="11" width="14.5546875" customWidth="1"/>
    <col min="12" max="12" width="18.33203125" customWidth="1"/>
    <col min="13" max="13" width="15" customWidth="1"/>
    <col min="14" max="14" width="18.88671875" customWidth="1"/>
    <col min="15" max="16" width="16.109375" customWidth="1"/>
    <col min="17" max="17" width="18.44140625" customWidth="1"/>
  </cols>
  <sheetData>
    <row r="2" spans="1:17" ht="13.8" thickBot="1" x14ac:dyDescent="0.3"/>
    <row r="3" spans="1:17" x14ac:dyDescent="0.25">
      <c r="A3" s="16" t="s">
        <v>18</v>
      </c>
      <c r="B3" s="21"/>
      <c r="H3" t="s">
        <v>42</v>
      </c>
      <c r="L3" s="32" t="s">
        <v>67</v>
      </c>
      <c r="M3" s="33" t="s">
        <v>68</v>
      </c>
      <c r="N3" s="33" t="s">
        <v>69</v>
      </c>
      <c r="O3" s="33" t="s">
        <v>78</v>
      </c>
      <c r="P3" s="33" t="s">
        <v>79</v>
      </c>
      <c r="Q3" s="41" t="s">
        <v>70</v>
      </c>
    </row>
    <row r="4" spans="1:17" x14ac:dyDescent="0.25">
      <c r="A4" s="17" t="s">
        <v>17</v>
      </c>
      <c r="B4" s="22">
        <v>6510</v>
      </c>
      <c r="H4" s="123" t="s">
        <v>112</v>
      </c>
      <c r="I4" s="122"/>
      <c r="L4" s="34" t="s">
        <v>71</v>
      </c>
      <c r="M4" s="30">
        <v>44</v>
      </c>
      <c r="N4" s="31" t="s">
        <v>117</v>
      </c>
      <c r="O4" s="40">
        <f>B13</f>
        <v>0.10977345094740276</v>
      </c>
      <c r="P4" s="40">
        <f>CONVERT(O4,"ozm","g")*25.4</f>
        <v>79.045434648068962</v>
      </c>
      <c r="Q4" s="35" t="s">
        <v>74</v>
      </c>
    </row>
    <row r="5" spans="1:17" x14ac:dyDescent="0.25">
      <c r="A5" s="17" t="s">
        <v>19</v>
      </c>
      <c r="B5" s="22">
        <v>7161</v>
      </c>
      <c r="H5" s="8" t="s">
        <v>113</v>
      </c>
      <c r="I5" s="8" t="s">
        <v>114</v>
      </c>
      <c r="L5" s="34" t="s">
        <v>72</v>
      </c>
      <c r="M5" s="51" t="s">
        <v>158</v>
      </c>
      <c r="N5" s="30" t="s">
        <v>76</v>
      </c>
      <c r="O5" s="40">
        <f>O4/2</f>
        <v>5.4886725473701381E-2</v>
      </c>
      <c r="P5" s="40">
        <f>CONVERT(O5,"ozm","g")*25.4</f>
        <v>39.522717324034481</v>
      </c>
      <c r="Q5" s="35" t="s">
        <v>74</v>
      </c>
    </row>
    <row r="6" spans="1:17" ht="13.8" thickBot="1" x14ac:dyDescent="0.3">
      <c r="A6" s="18" t="s">
        <v>20</v>
      </c>
      <c r="B6" s="23">
        <f>1.25*B5</f>
        <v>8951.25</v>
      </c>
      <c r="H6">
        <v>2818</v>
      </c>
      <c r="I6">
        <v>2794</v>
      </c>
      <c r="J6">
        <v>11477</v>
      </c>
      <c r="L6" s="34" t="s">
        <v>73</v>
      </c>
      <c r="M6" s="30">
        <v>26</v>
      </c>
      <c r="N6" s="30" t="s">
        <v>11</v>
      </c>
      <c r="O6" s="40" t="e">
        <f>B18</f>
        <v>#REF!</v>
      </c>
      <c r="P6" s="40" t="e">
        <f>CONVERT(O6,"ozm","g")*25.4</f>
        <v>#REF!</v>
      </c>
      <c r="Q6" s="35" t="s">
        <v>75</v>
      </c>
    </row>
    <row r="7" spans="1:17" x14ac:dyDescent="0.25">
      <c r="H7">
        <v>11030</v>
      </c>
      <c r="I7">
        <v>10608</v>
      </c>
      <c r="J7">
        <v>41149</v>
      </c>
      <c r="L7" t="s">
        <v>157</v>
      </c>
      <c r="M7" s="63" t="s">
        <v>159</v>
      </c>
      <c r="N7" t="s">
        <v>160</v>
      </c>
      <c r="O7">
        <v>980.23</v>
      </c>
      <c r="P7" s="40">
        <f>CONVERT(O7,"ozm","g")*25.4</f>
        <v>705841.94754159625</v>
      </c>
      <c r="Q7" s="35" t="s">
        <v>161</v>
      </c>
    </row>
    <row r="8" spans="1:17" ht="13.8" thickBot="1" x14ac:dyDescent="0.3">
      <c r="H8">
        <v>24580</v>
      </c>
      <c r="I8">
        <v>22361</v>
      </c>
      <c r="J8">
        <v>83681</v>
      </c>
      <c r="L8" t="s">
        <v>106</v>
      </c>
      <c r="M8" s="51" t="s">
        <v>158</v>
      </c>
      <c r="N8" s="30" t="s">
        <v>162</v>
      </c>
      <c r="O8" s="40">
        <f>501</f>
        <v>501</v>
      </c>
      <c r="P8" s="40">
        <f>CONVERT(O8,"ozm","g")*25.4</f>
        <v>360759.02157487499</v>
      </c>
      <c r="Q8" s="35" t="s">
        <v>74</v>
      </c>
    </row>
    <row r="9" spans="1:17" x14ac:dyDescent="0.25">
      <c r="A9" s="9" t="s">
        <v>21</v>
      </c>
      <c r="B9" s="10"/>
      <c r="C9" s="11"/>
      <c r="H9">
        <v>39563</v>
      </c>
      <c r="I9">
        <v>36326</v>
      </c>
      <c r="J9">
        <v>104486</v>
      </c>
    </row>
    <row r="10" spans="1:17" x14ac:dyDescent="0.25">
      <c r="A10" s="12" t="s">
        <v>14</v>
      </c>
      <c r="B10" s="24">
        <f>'Rotor Model (SAE)'!D113</f>
        <v>89.328145708449</v>
      </c>
      <c r="C10" s="13" t="s">
        <v>2</v>
      </c>
    </row>
    <row r="11" spans="1:17" x14ac:dyDescent="0.25">
      <c r="A11" s="12" t="s">
        <v>13</v>
      </c>
      <c r="B11" s="24">
        <f>B4</f>
        <v>6510</v>
      </c>
      <c r="C11" s="13" t="s">
        <v>16</v>
      </c>
      <c r="L11" t="s">
        <v>146</v>
      </c>
      <c r="M11" t="s">
        <v>156</v>
      </c>
      <c r="O11">
        <v>1.38873</v>
      </c>
      <c r="P11" s="40">
        <f>CONVERT(O11,"ozm","g")*25.4</f>
        <v>999.99376453428374</v>
      </c>
    </row>
    <row r="12" spans="1:17" x14ac:dyDescent="0.25">
      <c r="A12" s="12" t="s">
        <v>12</v>
      </c>
      <c r="B12" s="6">
        <f>4*B10/B11</f>
        <v>5.4886725473701381E-2</v>
      </c>
      <c r="C12" s="13" t="s">
        <v>15</v>
      </c>
      <c r="K12" s="8" t="s">
        <v>155</v>
      </c>
      <c r="L12">
        <f>29*B10/B11</f>
        <v>0.397928759684335</v>
      </c>
      <c r="M12" s="40">
        <f>CONVERT(L12,"ozm","g")*25.4</f>
        <v>286.53970059925001</v>
      </c>
      <c r="O12">
        <f>CONVERT(P12,"g","ozm")/25.4</f>
        <v>1.3887386594322997</v>
      </c>
      <c r="P12">
        <v>1000</v>
      </c>
    </row>
    <row r="13" spans="1:17" ht="13.8" thickBot="1" x14ac:dyDescent="0.3">
      <c r="A13" s="14" t="s">
        <v>22</v>
      </c>
      <c r="B13" s="20">
        <f>2*B12</f>
        <v>0.10977345094740276</v>
      </c>
      <c r="C13" s="15" t="s">
        <v>15</v>
      </c>
      <c r="O13">
        <f>501/B10*B11*2</f>
        <v>73023.12108089609</v>
      </c>
    </row>
    <row r="14" spans="1:17" ht="13.8" thickBot="1" x14ac:dyDescent="0.3"/>
    <row r="15" spans="1:17" ht="13.8" thickBot="1" x14ac:dyDescent="0.3">
      <c r="A15" s="57" t="s">
        <v>23</v>
      </c>
      <c r="B15" s="124" t="s">
        <v>116</v>
      </c>
      <c r="C15" s="125"/>
      <c r="D15" s="124" t="s">
        <v>115</v>
      </c>
      <c r="E15" s="125"/>
      <c r="J15" s="8" t="s">
        <v>140</v>
      </c>
      <c r="K15" s="60" t="s">
        <v>141</v>
      </c>
      <c r="L15" s="61">
        <v>2.5</v>
      </c>
    </row>
    <row r="16" spans="1:17" x14ac:dyDescent="0.25">
      <c r="A16" s="12" t="s">
        <v>24</v>
      </c>
      <c r="B16" s="53" t="e">
        <f>#REF!/2</f>
        <v>#REF!</v>
      </c>
      <c r="C16" s="58" t="s">
        <v>99</v>
      </c>
      <c r="D16" s="5">
        <f>'Rotor Model (SAE)'!O95</f>
        <v>0</v>
      </c>
      <c r="E16" s="58" t="s">
        <v>99</v>
      </c>
      <c r="J16" s="8" t="s">
        <v>142</v>
      </c>
      <c r="K16">
        <v>4600</v>
      </c>
      <c r="L16" s="8" t="s">
        <v>16</v>
      </c>
    </row>
    <row r="17" spans="1:16" x14ac:dyDescent="0.25">
      <c r="A17" s="12" t="s">
        <v>13</v>
      </c>
      <c r="B17" s="54">
        <f>B11</f>
        <v>6510</v>
      </c>
      <c r="C17" s="13" t="s">
        <v>16</v>
      </c>
      <c r="D17" s="24">
        <f>B17</f>
        <v>6510</v>
      </c>
      <c r="E17" s="13" t="s">
        <v>16</v>
      </c>
      <c r="J17" s="8" t="s">
        <v>143</v>
      </c>
      <c r="K17">
        <f>L15/(2*PI()*K16/60)</f>
        <v>5.1898351008226743E-3</v>
      </c>
      <c r="L17" s="8" t="s">
        <v>41</v>
      </c>
      <c r="M17" s="5"/>
      <c r="N17" s="5"/>
      <c r="O17" s="5"/>
      <c r="P17" s="5"/>
    </row>
    <row r="18" spans="1:16" x14ac:dyDescent="0.25">
      <c r="A18" s="12" t="s">
        <v>25</v>
      </c>
      <c r="B18" s="55" t="e">
        <f>40*B16/B17</f>
        <v>#REF!</v>
      </c>
      <c r="C18" s="13" t="s">
        <v>15</v>
      </c>
      <c r="D18" s="6">
        <f>40*D16/D17</f>
        <v>0</v>
      </c>
      <c r="E18" s="13" t="s">
        <v>15</v>
      </c>
      <c r="M18" s="6"/>
      <c r="N18" s="6"/>
      <c r="O18" s="6"/>
      <c r="P18" s="6"/>
    </row>
    <row r="19" spans="1:16" ht="13.8" thickBot="1" x14ac:dyDescent="0.3">
      <c r="A19" s="14" t="s">
        <v>26</v>
      </c>
      <c r="B19" s="56" t="e">
        <f>B18*2</f>
        <v>#REF!</v>
      </c>
      <c r="C19" s="15" t="s">
        <v>15</v>
      </c>
      <c r="D19" s="20">
        <f>2*D18</f>
        <v>0</v>
      </c>
      <c r="E19" s="15" t="s">
        <v>15</v>
      </c>
      <c r="J19" s="8" t="s">
        <v>144</v>
      </c>
      <c r="K19" s="5">
        <f>'Rotor model (SI)'!F112*1000*'4WN'!K17</f>
        <v>0</v>
      </c>
      <c r="L19" s="8" t="s">
        <v>145</v>
      </c>
    </row>
    <row r="20" spans="1:16" x14ac:dyDescent="0.25">
      <c r="B20" s="25" t="s">
        <v>4</v>
      </c>
      <c r="K20" s="6">
        <f>K19*CONVERT(1,"g","ozm")*CONVERT(1,"mm","in")</f>
        <v>0</v>
      </c>
      <c r="L20" s="8" t="s">
        <v>146</v>
      </c>
    </row>
    <row r="21" spans="1:16" x14ac:dyDescent="0.25">
      <c r="A21" s="8" t="s">
        <v>27</v>
      </c>
      <c r="B21" s="26">
        <f>'Rotor Model (SAE)'!D107</f>
        <v>35.905999999999999</v>
      </c>
      <c r="J21" s="8" t="s">
        <v>147</v>
      </c>
      <c r="K21">
        <f>K20/2</f>
        <v>0</v>
      </c>
      <c r="L21" s="8" t="s">
        <v>146</v>
      </c>
    </row>
    <row r="22" spans="1:16" x14ac:dyDescent="0.25">
      <c r="A22" s="8" t="s">
        <v>28</v>
      </c>
      <c r="B22" s="7">
        <f>'Rotor Model (SAE)'!D20</f>
        <v>2.9</v>
      </c>
      <c r="K22">
        <f>K19/2</f>
        <v>0</v>
      </c>
      <c r="L22" s="8" t="s">
        <v>145</v>
      </c>
    </row>
    <row r="23" spans="1:16" x14ac:dyDescent="0.25">
      <c r="A23" s="8" t="s">
        <v>29</v>
      </c>
      <c r="B23" s="3">
        <f>B21/B22</f>
        <v>12.381379310344828</v>
      </c>
      <c r="C23" s="26"/>
    </row>
    <row r="24" spans="1:16" x14ac:dyDescent="0.25">
      <c r="A24" s="8"/>
      <c r="B24" s="26"/>
      <c r="C24" s="26"/>
      <c r="H24" t="s">
        <v>163</v>
      </c>
      <c r="I24">
        <v>1</v>
      </c>
      <c r="J24" t="s">
        <v>100</v>
      </c>
    </row>
    <row r="25" spans="1:16" x14ac:dyDescent="0.25">
      <c r="H25" t="s">
        <v>164</v>
      </c>
      <c r="I25" t="e">
        <f>B16*I24/1000*16</f>
        <v>#REF!</v>
      </c>
      <c r="J25" t="s">
        <v>146</v>
      </c>
      <c r="K25" s="122"/>
      <c r="L25" s="122"/>
      <c r="M25" s="126"/>
      <c r="N25" s="126"/>
    </row>
    <row r="26" spans="1:16" x14ac:dyDescent="0.25">
      <c r="A26" s="8"/>
      <c r="M26" s="6"/>
      <c r="N26" s="6"/>
    </row>
    <row r="27" spans="1:16" x14ac:dyDescent="0.25">
      <c r="K27" s="5"/>
      <c r="L27" s="5"/>
      <c r="M27" s="5"/>
      <c r="N27" s="5"/>
    </row>
    <row r="28" spans="1:16" x14ac:dyDescent="0.25">
      <c r="A28" t="s">
        <v>30</v>
      </c>
      <c r="I28">
        <v>2460</v>
      </c>
      <c r="K28" s="5"/>
      <c r="L28" s="5"/>
      <c r="M28" s="5"/>
      <c r="N28" s="5"/>
    </row>
    <row r="29" spans="1:16" x14ac:dyDescent="0.25">
      <c r="A29" t="s">
        <v>31</v>
      </c>
      <c r="B29" s="39" t="e">
        <f>B4/B28</f>
        <v>#DIV/0!</v>
      </c>
    </row>
    <row r="31" spans="1:16" x14ac:dyDescent="0.25">
      <c r="A31" t="s">
        <v>32</v>
      </c>
      <c r="B31" s="4">
        <v>701174</v>
      </c>
      <c r="C31" t="s">
        <v>38</v>
      </c>
      <c r="D31" s="4"/>
      <c r="F31" s="4"/>
      <c r="G31" s="8"/>
      <c r="I31" s="42"/>
    </row>
    <row r="32" spans="1:16" x14ac:dyDescent="0.25">
      <c r="A32" t="s">
        <v>33</v>
      </c>
      <c r="B32" s="4">
        <v>1034922</v>
      </c>
      <c r="C32" t="s">
        <v>38</v>
      </c>
      <c r="D32" s="4"/>
      <c r="F32" s="4"/>
      <c r="G32" s="8"/>
      <c r="I32" s="42"/>
    </row>
    <row r="33" spans="1:14" x14ac:dyDescent="0.25">
      <c r="A33" t="s">
        <v>34</v>
      </c>
      <c r="B33" s="4">
        <f>AVERAGE(B31:B32)</f>
        <v>868048</v>
      </c>
      <c r="C33" t="s">
        <v>38</v>
      </c>
      <c r="D33" s="4"/>
      <c r="F33" s="4"/>
      <c r="G33" s="8"/>
      <c r="I33" s="42"/>
      <c r="K33" s="122"/>
      <c r="L33" s="122"/>
      <c r="M33" s="126"/>
      <c r="N33" s="126"/>
    </row>
    <row r="34" spans="1:14" x14ac:dyDescent="0.25">
      <c r="A34" t="s">
        <v>37</v>
      </c>
      <c r="B34" s="27">
        <f>B10</f>
        <v>89.328145708449</v>
      </c>
      <c r="C34" s="8" t="s">
        <v>6</v>
      </c>
      <c r="F34" s="29"/>
      <c r="G34" s="8"/>
      <c r="M34" s="6"/>
      <c r="N34" s="6"/>
    </row>
    <row r="35" spans="1:14" x14ac:dyDescent="0.25">
      <c r="A35" t="s">
        <v>39</v>
      </c>
      <c r="B35" s="42">
        <f>B34/(2*386.4)</f>
        <v>0.11559025065793091</v>
      </c>
      <c r="C35" s="8" t="s">
        <v>80</v>
      </c>
      <c r="F35" s="29"/>
      <c r="G35" s="8"/>
      <c r="K35" s="6"/>
      <c r="L35" s="6"/>
      <c r="M35" s="6"/>
      <c r="N35" s="6"/>
    </row>
    <row r="36" spans="1:14" x14ac:dyDescent="0.25">
      <c r="A36" t="s">
        <v>35</v>
      </c>
      <c r="B36" s="4">
        <f>((B28*2*PI()/60)^2)*B35</f>
        <v>0</v>
      </c>
      <c r="C36" t="s">
        <v>38</v>
      </c>
      <c r="D36" s="4"/>
      <c r="F36" s="4"/>
      <c r="G36" s="8"/>
      <c r="H36" s="4"/>
      <c r="I36" s="42"/>
      <c r="K36" s="5"/>
      <c r="L36" s="5"/>
      <c r="M36" s="5"/>
      <c r="N36" s="5"/>
    </row>
    <row r="37" spans="1:14" x14ac:dyDescent="0.25">
      <c r="B37" s="4"/>
      <c r="D37" s="4"/>
      <c r="F37" s="4"/>
      <c r="G37" s="8"/>
      <c r="H37" s="4"/>
      <c r="I37" s="42"/>
    </row>
    <row r="38" spans="1:14" x14ac:dyDescent="0.25">
      <c r="A38" t="s">
        <v>36</v>
      </c>
      <c r="B38" s="28" t="e">
        <f>(2*B33)/B36</f>
        <v>#DIV/0!</v>
      </c>
      <c r="D38" s="28"/>
      <c r="F38" s="28"/>
    </row>
    <row r="42" spans="1:14" x14ac:dyDescent="0.25">
      <c r="A42" t="s">
        <v>119</v>
      </c>
      <c r="B42">
        <f>SQRT(12000/B4)</f>
        <v>1.3576884666042612</v>
      </c>
      <c r="C42" t="s">
        <v>100</v>
      </c>
    </row>
    <row r="43" spans="1:14" x14ac:dyDescent="0.25">
      <c r="B43">
        <f>B42*25.4</f>
        <v>34.48528705174823</v>
      </c>
      <c r="C43" t="s">
        <v>81</v>
      </c>
      <c r="D43" s="25"/>
      <c r="E43" s="25"/>
    </row>
  </sheetData>
  <mergeCells count="7">
    <mergeCell ref="H4:I4"/>
    <mergeCell ref="D15:E15"/>
    <mergeCell ref="B15:C15"/>
    <mergeCell ref="K33:L33"/>
    <mergeCell ref="M33:N33"/>
    <mergeCell ref="K25:L25"/>
    <mergeCell ref="M25:N2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54"/>
  <sheetViews>
    <sheetView workbookViewId="0">
      <selection activeCell="F37" sqref="F37"/>
    </sheetView>
  </sheetViews>
  <sheetFormatPr defaultRowHeight="13.2" x14ac:dyDescent="0.25"/>
  <cols>
    <col min="1" max="1" width="28.33203125" style="65" customWidth="1"/>
    <col min="2" max="5" width="9.109375" style="65"/>
    <col min="6" max="6" width="23.6640625" style="65" customWidth="1"/>
    <col min="7" max="10" width="9.109375" style="65"/>
    <col min="11" max="11" width="12" style="65" bestFit="1" customWidth="1"/>
    <col min="12" max="256" width="9.109375" style="65"/>
    <col min="257" max="257" width="28.33203125" style="65" customWidth="1"/>
    <col min="258" max="261" width="9.109375" style="65"/>
    <col min="262" max="262" width="23.6640625" style="65" customWidth="1"/>
    <col min="263" max="266" width="9.109375" style="65"/>
    <col min="267" max="267" width="12" style="65" bestFit="1" customWidth="1"/>
    <col min="268" max="512" width="9.109375" style="65"/>
    <col min="513" max="513" width="28.33203125" style="65" customWidth="1"/>
    <col min="514" max="517" width="9.109375" style="65"/>
    <col min="518" max="518" width="23.6640625" style="65" customWidth="1"/>
    <col min="519" max="522" width="9.109375" style="65"/>
    <col min="523" max="523" width="12" style="65" bestFit="1" customWidth="1"/>
    <col min="524" max="768" width="9.109375" style="65"/>
    <col min="769" max="769" width="28.33203125" style="65" customWidth="1"/>
    <col min="770" max="773" width="9.109375" style="65"/>
    <col min="774" max="774" width="23.6640625" style="65" customWidth="1"/>
    <col min="775" max="778" width="9.109375" style="65"/>
    <col min="779" max="779" width="12" style="65" bestFit="1" customWidth="1"/>
    <col min="780" max="1024" width="9.109375" style="65"/>
    <col min="1025" max="1025" width="28.33203125" style="65" customWidth="1"/>
    <col min="1026" max="1029" width="9.109375" style="65"/>
    <col min="1030" max="1030" width="23.6640625" style="65" customWidth="1"/>
    <col min="1031" max="1034" width="9.109375" style="65"/>
    <col min="1035" max="1035" width="12" style="65" bestFit="1" customWidth="1"/>
    <col min="1036" max="1280" width="9.109375" style="65"/>
    <col min="1281" max="1281" width="28.33203125" style="65" customWidth="1"/>
    <col min="1282" max="1285" width="9.109375" style="65"/>
    <col min="1286" max="1286" width="23.6640625" style="65" customWidth="1"/>
    <col min="1287" max="1290" width="9.109375" style="65"/>
    <col min="1291" max="1291" width="12" style="65" bestFit="1" customWidth="1"/>
    <col min="1292" max="1536" width="9.109375" style="65"/>
    <col min="1537" max="1537" width="28.33203125" style="65" customWidth="1"/>
    <col min="1538" max="1541" width="9.109375" style="65"/>
    <col min="1542" max="1542" width="23.6640625" style="65" customWidth="1"/>
    <col min="1543" max="1546" width="9.109375" style="65"/>
    <col min="1547" max="1547" width="12" style="65" bestFit="1" customWidth="1"/>
    <col min="1548" max="1792" width="9.109375" style="65"/>
    <col min="1793" max="1793" width="28.33203125" style="65" customWidth="1"/>
    <col min="1794" max="1797" width="9.109375" style="65"/>
    <col min="1798" max="1798" width="23.6640625" style="65" customWidth="1"/>
    <col min="1799" max="1802" width="9.109375" style="65"/>
    <col min="1803" max="1803" width="12" style="65" bestFit="1" customWidth="1"/>
    <col min="1804" max="2048" width="9.109375" style="65"/>
    <col min="2049" max="2049" width="28.33203125" style="65" customWidth="1"/>
    <col min="2050" max="2053" width="9.109375" style="65"/>
    <col min="2054" max="2054" width="23.6640625" style="65" customWidth="1"/>
    <col min="2055" max="2058" width="9.109375" style="65"/>
    <col min="2059" max="2059" width="12" style="65" bestFit="1" customWidth="1"/>
    <col min="2060" max="2304" width="9.109375" style="65"/>
    <col min="2305" max="2305" width="28.33203125" style="65" customWidth="1"/>
    <col min="2306" max="2309" width="9.109375" style="65"/>
    <col min="2310" max="2310" width="23.6640625" style="65" customWidth="1"/>
    <col min="2311" max="2314" width="9.109375" style="65"/>
    <col min="2315" max="2315" width="12" style="65" bestFit="1" customWidth="1"/>
    <col min="2316" max="2560" width="9.109375" style="65"/>
    <col min="2561" max="2561" width="28.33203125" style="65" customWidth="1"/>
    <col min="2562" max="2565" width="9.109375" style="65"/>
    <col min="2566" max="2566" width="23.6640625" style="65" customWidth="1"/>
    <col min="2567" max="2570" width="9.109375" style="65"/>
    <col min="2571" max="2571" width="12" style="65" bestFit="1" customWidth="1"/>
    <col min="2572" max="2816" width="9.109375" style="65"/>
    <col min="2817" max="2817" width="28.33203125" style="65" customWidth="1"/>
    <col min="2818" max="2821" width="9.109375" style="65"/>
    <col min="2822" max="2822" width="23.6640625" style="65" customWidth="1"/>
    <col min="2823" max="2826" width="9.109375" style="65"/>
    <col min="2827" max="2827" width="12" style="65" bestFit="1" customWidth="1"/>
    <col min="2828" max="3072" width="9.109375" style="65"/>
    <col min="3073" max="3073" width="28.33203125" style="65" customWidth="1"/>
    <col min="3074" max="3077" width="9.109375" style="65"/>
    <col min="3078" max="3078" width="23.6640625" style="65" customWidth="1"/>
    <col min="3079" max="3082" width="9.109375" style="65"/>
    <col min="3083" max="3083" width="12" style="65" bestFit="1" customWidth="1"/>
    <col min="3084" max="3328" width="9.109375" style="65"/>
    <col min="3329" max="3329" width="28.33203125" style="65" customWidth="1"/>
    <col min="3330" max="3333" width="9.109375" style="65"/>
    <col min="3334" max="3334" width="23.6640625" style="65" customWidth="1"/>
    <col min="3335" max="3338" width="9.109375" style="65"/>
    <col min="3339" max="3339" width="12" style="65" bestFit="1" customWidth="1"/>
    <col min="3340" max="3584" width="9.109375" style="65"/>
    <col min="3585" max="3585" width="28.33203125" style="65" customWidth="1"/>
    <col min="3586" max="3589" width="9.109375" style="65"/>
    <col min="3590" max="3590" width="23.6640625" style="65" customWidth="1"/>
    <col min="3591" max="3594" width="9.109375" style="65"/>
    <col min="3595" max="3595" width="12" style="65" bestFit="1" customWidth="1"/>
    <col min="3596" max="3840" width="9.109375" style="65"/>
    <col min="3841" max="3841" width="28.33203125" style="65" customWidth="1"/>
    <col min="3842" max="3845" width="9.109375" style="65"/>
    <col min="3846" max="3846" width="23.6640625" style="65" customWidth="1"/>
    <col min="3847" max="3850" width="9.109375" style="65"/>
    <col min="3851" max="3851" width="12" style="65" bestFit="1" customWidth="1"/>
    <col min="3852" max="4096" width="9.109375" style="65"/>
    <col min="4097" max="4097" width="28.33203125" style="65" customWidth="1"/>
    <col min="4098" max="4101" width="9.109375" style="65"/>
    <col min="4102" max="4102" width="23.6640625" style="65" customWidth="1"/>
    <col min="4103" max="4106" width="9.109375" style="65"/>
    <col min="4107" max="4107" width="12" style="65" bestFit="1" customWidth="1"/>
    <col min="4108" max="4352" width="9.109375" style="65"/>
    <col min="4353" max="4353" width="28.33203125" style="65" customWidth="1"/>
    <col min="4354" max="4357" width="9.109375" style="65"/>
    <col min="4358" max="4358" width="23.6640625" style="65" customWidth="1"/>
    <col min="4359" max="4362" width="9.109375" style="65"/>
    <col min="4363" max="4363" width="12" style="65" bestFit="1" customWidth="1"/>
    <col min="4364" max="4608" width="9.109375" style="65"/>
    <col min="4609" max="4609" width="28.33203125" style="65" customWidth="1"/>
    <col min="4610" max="4613" width="9.109375" style="65"/>
    <col min="4614" max="4614" width="23.6640625" style="65" customWidth="1"/>
    <col min="4615" max="4618" width="9.109375" style="65"/>
    <col min="4619" max="4619" width="12" style="65" bestFit="1" customWidth="1"/>
    <col min="4620" max="4864" width="9.109375" style="65"/>
    <col min="4865" max="4865" width="28.33203125" style="65" customWidth="1"/>
    <col min="4866" max="4869" width="9.109375" style="65"/>
    <col min="4870" max="4870" width="23.6640625" style="65" customWidth="1"/>
    <col min="4871" max="4874" width="9.109375" style="65"/>
    <col min="4875" max="4875" width="12" style="65" bestFit="1" customWidth="1"/>
    <col min="4876" max="5120" width="9.109375" style="65"/>
    <col min="5121" max="5121" width="28.33203125" style="65" customWidth="1"/>
    <col min="5122" max="5125" width="9.109375" style="65"/>
    <col min="5126" max="5126" width="23.6640625" style="65" customWidth="1"/>
    <col min="5127" max="5130" width="9.109375" style="65"/>
    <col min="5131" max="5131" width="12" style="65" bestFit="1" customWidth="1"/>
    <col min="5132" max="5376" width="9.109375" style="65"/>
    <col min="5377" max="5377" width="28.33203125" style="65" customWidth="1"/>
    <col min="5378" max="5381" width="9.109375" style="65"/>
    <col min="5382" max="5382" width="23.6640625" style="65" customWidth="1"/>
    <col min="5383" max="5386" width="9.109375" style="65"/>
    <col min="5387" max="5387" width="12" style="65" bestFit="1" customWidth="1"/>
    <col min="5388" max="5632" width="9.109375" style="65"/>
    <col min="5633" max="5633" width="28.33203125" style="65" customWidth="1"/>
    <col min="5634" max="5637" width="9.109375" style="65"/>
    <col min="5638" max="5638" width="23.6640625" style="65" customWidth="1"/>
    <col min="5639" max="5642" width="9.109375" style="65"/>
    <col min="5643" max="5643" width="12" style="65" bestFit="1" customWidth="1"/>
    <col min="5644" max="5888" width="9.109375" style="65"/>
    <col min="5889" max="5889" width="28.33203125" style="65" customWidth="1"/>
    <col min="5890" max="5893" width="9.109375" style="65"/>
    <col min="5894" max="5894" width="23.6640625" style="65" customWidth="1"/>
    <col min="5895" max="5898" width="9.109375" style="65"/>
    <col min="5899" max="5899" width="12" style="65" bestFit="1" customWidth="1"/>
    <col min="5900" max="6144" width="9.109375" style="65"/>
    <col min="6145" max="6145" width="28.33203125" style="65" customWidth="1"/>
    <col min="6146" max="6149" width="9.109375" style="65"/>
    <col min="6150" max="6150" width="23.6640625" style="65" customWidth="1"/>
    <col min="6151" max="6154" width="9.109375" style="65"/>
    <col min="6155" max="6155" width="12" style="65" bestFit="1" customWidth="1"/>
    <col min="6156" max="6400" width="9.109375" style="65"/>
    <col min="6401" max="6401" width="28.33203125" style="65" customWidth="1"/>
    <col min="6402" max="6405" width="9.109375" style="65"/>
    <col min="6406" max="6406" width="23.6640625" style="65" customWidth="1"/>
    <col min="6407" max="6410" width="9.109375" style="65"/>
    <col min="6411" max="6411" width="12" style="65" bestFit="1" customWidth="1"/>
    <col min="6412" max="6656" width="9.109375" style="65"/>
    <col min="6657" max="6657" width="28.33203125" style="65" customWidth="1"/>
    <col min="6658" max="6661" width="9.109375" style="65"/>
    <col min="6662" max="6662" width="23.6640625" style="65" customWidth="1"/>
    <col min="6663" max="6666" width="9.109375" style="65"/>
    <col min="6667" max="6667" width="12" style="65" bestFit="1" customWidth="1"/>
    <col min="6668" max="6912" width="9.109375" style="65"/>
    <col min="6913" max="6913" width="28.33203125" style="65" customWidth="1"/>
    <col min="6914" max="6917" width="9.109375" style="65"/>
    <col min="6918" max="6918" width="23.6640625" style="65" customWidth="1"/>
    <col min="6919" max="6922" width="9.109375" style="65"/>
    <col min="6923" max="6923" width="12" style="65" bestFit="1" customWidth="1"/>
    <col min="6924" max="7168" width="9.109375" style="65"/>
    <col min="7169" max="7169" width="28.33203125" style="65" customWidth="1"/>
    <col min="7170" max="7173" width="9.109375" style="65"/>
    <col min="7174" max="7174" width="23.6640625" style="65" customWidth="1"/>
    <col min="7175" max="7178" width="9.109375" style="65"/>
    <col min="7179" max="7179" width="12" style="65" bestFit="1" customWidth="1"/>
    <col min="7180" max="7424" width="9.109375" style="65"/>
    <col min="7425" max="7425" width="28.33203125" style="65" customWidth="1"/>
    <col min="7426" max="7429" width="9.109375" style="65"/>
    <col min="7430" max="7430" width="23.6640625" style="65" customWidth="1"/>
    <col min="7431" max="7434" width="9.109375" style="65"/>
    <col min="7435" max="7435" width="12" style="65" bestFit="1" customWidth="1"/>
    <col min="7436" max="7680" width="9.109375" style="65"/>
    <col min="7681" max="7681" width="28.33203125" style="65" customWidth="1"/>
    <col min="7682" max="7685" width="9.109375" style="65"/>
    <col min="7686" max="7686" width="23.6640625" style="65" customWidth="1"/>
    <col min="7687" max="7690" width="9.109375" style="65"/>
    <col min="7691" max="7691" width="12" style="65" bestFit="1" customWidth="1"/>
    <col min="7692" max="7936" width="9.109375" style="65"/>
    <col min="7937" max="7937" width="28.33203125" style="65" customWidth="1"/>
    <col min="7938" max="7941" width="9.109375" style="65"/>
    <col min="7942" max="7942" width="23.6640625" style="65" customWidth="1"/>
    <col min="7943" max="7946" width="9.109375" style="65"/>
    <col min="7947" max="7947" width="12" style="65" bestFit="1" customWidth="1"/>
    <col min="7948" max="8192" width="9.109375" style="65"/>
    <col min="8193" max="8193" width="28.33203125" style="65" customWidth="1"/>
    <col min="8194" max="8197" width="9.109375" style="65"/>
    <col min="8198" max="8198" width="23.6640625" style="65" customWidth="1"/>
    <col min="8199" max="8202" width="9.109375" style="65"/>
    <col min="8203" max="8203" width="12" style="65" bestFit="1" customWidth="1"/>
    <col min="8204" max="8448" width="9.109375" style="65"/>
    <col min="8449" max="8449" width="28.33203125" style="65" customWidth="1"/>
    <col min="8450" max="8453" width="9.109375" style="65"/>
    <col min="8454" max="8454" width="23.6640625" style="65" customWidth="1"/>
    <col min="8455" max="8458" width="9.109375" style="65"/>
    <col min="8459" max="8459" width="12" style="65" bestFit="1" customWidth="1"/>
    <col min="8460" max="8704" width="9.109375" style="65"/>
    <col min="8705" max="8705" width="28.33203125" style="65" customWidth="1"/>
    <col min="8706" max="8709" width="9.109375" style="65"/>
    <col min="8710" max="8710" width="23.6640625" style="65" customWidth="1"/>
    <col min="8711" max="8714" width="9.109375" style="65"/>
    <col min="8715" max="8715" width="12" style="65" bestFit="1" customWidth="1"/>
    <col min="8716" max="8960" width="9.109375" style="65"/>
    <col min="8961" max="8961" width="28.33203125" style="65" customWidth="1"/>
    <col min="8962" max="8965" width="9.109375" style="65"/>
    <col min="8966" max="8966" width="23.6640625" style="65" customWidth="1"/>
    <col min="8967" max="8970" width="9.109375" style="65"/>
    <col min="8971" max="8971" width="12" style="65" bestFit="1" customWidth="1"/>
    <col min="8972" max="9216" width="9.109375" style="65"/>
    <col min="9217" max="9217" width="28.33203125" style="65" customWidth="1"/>
    <col min="9218" max="9221" width="9.109375" style="65"/>
    <col min="9222" max="9222" width="23.6640625" style="65" customWidth="1"/>
    <col min="9223" max="9226" width="9.109375" style="65"/>
    <col min="9227" max="9227" width="12" style="65" bestFit="1" customWidth="1"/>
    <col min="9228" max="9472" width="9.109375" style="65"/>
    <col min="9473" max="9473" width="28.33203125" style="65" customWidth="1"/>
    <col min="9474" max="9477" width="9.109375" style="65"/>
    <col min="9478" max="9478" width="23.6640625" style="65" customWidth="1"/>
    <col min="9479" max="9482" width="9.109375" style="65"/>
    <col min="9483" max="9483" width="12" style="65" bestFit="1" customWidth="1"/>
    <col min="9484" max="9728" width="9.109375" style="65"/>
    <col min="9729" max="9729" width="28.33203125" style="65" customWidth="1"/>
    <col min="9730" max="9733" width="9.109375" style="65"/>
    <col min="9734" max="9734" width="23.6640625" style="65" customWidth="1"/>
    <col min="9735" max="9738" width="9.109375" style="65"/>
    <col min="9739" max="9739" width="12" style="65" bestFit="1" customWidth="1"/>
    <col min="9740" max="9984" width="9.109375" style="65"/>
    <col min="9985" max="9985" width="28.33203125" style="65" customWidth="1"/>
    <col min="9986" max="9989" width="9.109375" style="65"/>
    <col min="9990" max="9990" width="23.6640625" style="65" customWidth="1"/>
    <col min="9991" max="9994" width="9.109375" style="65"/>
    <col min="9995" max="9995" width="12" style="65" bestFit="1" customWidth="1"/>
    <col min="9996" max="10240" width="9.109375" style="65"/>
    <col min="10241" max="10241" width="28.33203125" style="65" customWidth="1"/>
    <col min="10242" max="10245" width="9.109375" style="65"/>
    <col min="10246" max="10246" width="23.6640625" style="65" customWidth="1"/>
    <col min="10247" max="10250" width="9.109375" style="65"/>
    <col min="10251" max="10251" width="12" style="65" bestFit="1" customWidth="1"/>
    <col min="10252" max="10496" width="9.109375" style="65"/>
    <col min="10497" max="10497" width="28.33203125" style="65" customWidth="1"/>
    <col min="10498" max="10501" width="9.109375" style="65"/>
    <col min="10502" max="10502" width="23.6640625" style="65" customWidth="1"/>
    <col min="10503" max="10506" width="9.109375" style="65"/>
    <col min="10507" max="10507" width="12" style="65" bestFit="1" customWidth="1"/>
    <col min="10508" max="10752" width="9.109375" style="65"/>
    <col min="10753" max="10753" width="28.33203125" style="65" customWidth="1"/>
    <col min="10754" max="10757" width="9.109375" style="65"/>
    <col min="10758" max="10758" width="23.6640625" style="65" customWidth="1"/>
    <col min="10759" max="10762" width="9.109375" style="65"/>
    <col min="10763" max="10763" width="12" style="65" bestFit="1" customWidth="1"/>
    <col min="10764" max="11008" width="9.109375" style="65"/>
    <col min="11009" max="11009" width="28.33203125" style="65" customWidth="1"/>
    <col min="11010" max="11013" width="9.109375" style="65"/>
    <col min="11014" max="11014" width="23.6640625" style="65" customWidth="1"/>
    <col min="11015" max="11018" width="9.109375" style="65"/>
    <col min="11019" max="11019" width="12" style="65" bestFit="1" customWidth="1"/>
    <col min="11020" max="11264" width="9.109375" style="65"/>
    <col min="11265" max="11265" width="28.33203125" style="65" customWidth="1"/>
    <col min="11266" max="11269" width="9.109375" style="65"/>
    <col min="11270" max="11270" width="23.6640625" style="65" customWidth="1"/>
    <col min="11271" max="11274" width="9.109375" style="65"/>
    <col min="11275" max="11275" width="12" style="65" bestFit="1" customWidth="1"/>
    <col min="11276" max="11520" width="9.109375" style="65"/>
    <col min="11521" max="11521" width="28.33203125" style="65" customWidth="1"/>
    <col min="11522" max="11525" width="9.109375" style="65"/>
    <col min="11526" max="11526" width="23.6640625" style="65" customWidth="1"/>
    <col min="11527" max="11530" width="9.109375" style="65"/>
    <col min="11531" max="11531" width="12" style="65" bestFit="1" customWidth="1"/>
    <col min="11532" max="11776" width="9.109375" style="65"/>
    <col min="11777" max="11777" width="28.33203125" style="65" customWidth="1"/>
    <col min="11778" max="11781" width="9.109375" style="65"/>
    <col min="11782" max="11782" width="23.6640625" style="65" customWidth="1"/>
    <col min="11783" max="11786" width="9.109375" style="65"/>
    <col min="11787" max="11787" width="12" style="65" bestFit="1" customWidth="1"/>
    <col min="11788" max="12032" width="9.109375" style="65"/>
    <col min="12033" max="12033" width="28.33203125" style="65" customWidth="1"/>
    <col min="12034" max="12037" width="9.109375" style="65"/>
    <col min="12038" max="12038" width="23.6640625" style="65" customWidth="1"/>
    <col min="12039" max="12042" width="9.109375" style="65"/>
    <col min="12043" max="12043" width="12" style="65" bestFit="1" customWidth="1"/>
    <col min="12044" max="12288" width="9.109375" style="65"/>
    <col min="12289" max="12289" width="28.33203125" style="65" customWidth="1"/>
    <col min="12290" max="12293" width="9.109375" style="65"/>
    <col min="12294" max="12294" width="23.6640625" style="65" customWidth="1"/>
    <col min="12295" max="12298" width="9.109375" style="65"/>
    <col min="12299" max="12299" width="12" style="65" bestFit="1" customWidth="1"/>
    <col min="12300" max="12544" width="9.109375" style="65"/>
    <col min="12545" max="12545" width="28.33203125" style="65" customWidth="1"/>
    <col min="12546" max="12549" width="9.109375" style="65"/>
    <col min="12550" max="12550" width="23.6640625" style="65" customWidth="1"/>
    <col min="12551" max="12554" width="9.109375" style="65"/>
    <col min="12555" max="12555" width="12" style="65" bestFit="1" customWidth="1"/>
    <col min="12556" max="12800" width="9.109375" style="65"/>
    <col min="12801" max="12801" width="28.33203125" style="65" customWidth="1"/>
    <col min="12802" max="12805" width="9.109375" style="65"/>
    <col min="12806" max="12806" width="23.6640625" style="65" customWidth="1"/>
    <col min="12807" max="12810" width="9.109375" style="65"/>
    <col min="12811" max="12811" width="12" style="65" bestFit="1" customWidth="1"/>
    <col min="12812" max="13056" width="9.109375" style="65"/>
    <col min="13057" max="13057" width="28.33203125" style="65" customWidth="1"/>
    <col min="13058" max="13061" width="9.109375" style="65"/>
    <col min="13062" max="13062" width="23.6640625" style="65" customWidth="1"/>
    <col min="13063" max="13066" width="9.109375" style="65"/>
    <col min="13067" max="13067" width="12" style="65" bestFit="1" customWidth="1"/>
    <col min="13068" max="13312" width="9.109375" style="65"/>
    <col min="13313" max="13313" width="28.33203125" style="65" customWidth="1"/>
    <col min="13314" max="13317" width="9.109375" style="65"/>
    <col min="13318" max="13318" width="23.6640625" style="65" customWidth="1"/>
    <col min="13319" max="13322" width="9.109375" style="65"/>
    <col min="13323" max="13323" width="12" style="65" bestFit="1" customWidth="1"/>
    <col min="13324" max="13568" width="9.109375" style="65"/>
    <col min="13569" max="13569" width="28.33203125" style="65" customWidth="1"/>
    <col min="13570" max="13573" width="9.109375" style="65"/>
    <col min="13574" max="13574" width="23.6640625" style="65" customWidth="1"/>
    <col min="13575" max="13578" width="9.109375" style="65"/>
    <col min="13579" max="13579" width="12" style="65" bestFit="1" customWidth="1"/>
    <col min="13580" max="13824" width="9.109375" style="65"/>
    <col min="13825" max="13825" width="28.33203125" style="65" customWidth="1"/>
    <col min="13826" max="13829" width="9.109375" style="65"/>
    <col min="13830" max="13830" width="23.6640625" style="65" customWidth="1"/>
    <col min="13831" max="13834" width="9.109375" style="65"/>
    <col min="13835" max="13835" width="12" style="65" bestFit="1" customWidth="1"/>
    <col min="13836" max="14080" width="9.109375" style="65"/>
    <col min="14081" max="14081" width="28.33203125" style="65" customWidth="1"/>
    <col min="14082" max="14085" width="9.109375" style="65"/>
    <col min="14086" max="14086" width="23.6640625" style="65" customWidth="1"/>
    <col min="14087" max="14090" width="9.109375" style="65"/>
    <col min="14091" max="14091" width="12" style="65" bestFit="1" customWidth="1"/>
    <col min="14092" max="14336" width="9.109375" style="65"/>
    <col min="14337" max="14337" width="28.33203125" style="65" customWidth="1"/>
    <col min="14338" max="14341" width="9.109375" style="65"/>
    <col min="14342" max="14342" width="23.6640625" style="65" customWidth="1"/>
    <col min="14343" max="14346" width="9.109375" style="65"/>
    <col min="14347" max="14347" width="12" style="65" bestFit="1" customWidth="1"/>
    <col min="14348" max="14592" width="9.109375" style="65"/>
    <col min="14593" max="14593" width="28.33203125" style="65" customWidth="1"/>
    <col min="14594" max="14597" width="9.109375" style="65"/>
    <col min="14598" max="14598" width="23.6640625" style="65" customWidth="1"/>
    <col min="14599" max="14602" width="9.109375" style="65"/>
    <col min="14603" max="14603" width="12" style="65" bestFit="1" customWidth="1"/>
    <col min="14604" max="14848" width="9.109375" style="65"/>
    <col min="14849" max="14849" width="28.33203125" style="65" customWidth="1"/>
    <col min="14850" max="14853" width="9.109375" style="65"/>
    <col min="14854" max="14854" width="23.6640625" style="65" customWidth="1"/>
    <col min="14855" max="14858" width="9.109375" style="65"/>
    <col min="14859" max="14859" width="12" style="65" bestFit="1" customWidth="1"/>
    <col min="14860" max="15104" width="9.109375" style="65"/>
    <col min="15105" max="15105" width="28.33203125" style="65" customWidth="1"/>
    <col min="15106" max="15109" width="9.109375" style="65"/>
    <col min="15110" max="15110" width="23.6640625" style="65" customWidth="1"/>
    <col min="15111" max="15114" width="9.109375" style="65"/>
    <col min="15115" max="15115" width="12" style="65" bestFit="1" customWidth="1"/>
    <col min="15116" max="15360" width="9.109375" style="65"/>
    <col min="15361" max="15361" width="28.33203125" style="65" customWidth="1"/>
    <col min="15362" max="15365" width="9.109375" style="65"/>
    <col min="15366" max="15366" width="23.6640625" style="65" customWidth="1"/>
    <col min="15367" max="15370" width="9.109375" style="65"/>
    <col min="15371" max="15371" width="12" style="65" bestFit="1" customWidth="1"/>
    <col min="15372" max="15616" width="9.109375" style="65"/>
    <col min="15617" max="15617" width="28.33203125" style="65" customWidth="1"/>
    <col min="15618" max="15621" width="9.109375" style="65"/>
    <col min="15622" max="15622" width="23.6640625" style="65" customWidth="1"/>
    <col min="15623" max="15626" width="9.109375" style="65"/>
    <col min="15627" max="15627" width="12" style="65" bestFit="1" customWidth="1"/>
    <col min="15628" max="15872" width="9.109375" style="65"/>
    <col min="15873" max="15873" width="28.33203125" style="65" customWidth="1"/>
    <col min="15874" max="15877" width="9.109375" style="65"/>
    <col min="15878" max="15878" width="23.6640625" style="65" customWidth="1"/>
    <col min="15879" max="15882" width="9.109375" style="65"/>
    <col min="15883" max="15883" width="12" style="65" bestFit="1" customWidth="1"/>
    <col min="15884" max="16128" width="9.109375" style="65"/>
    <col min="16129" max="16129" width="28.33203125" style="65" customWidth="1"/>
    <col min="16130" max="16133" width="9.109375" style="65"/>
    <col min="16134" max="16134" width="23.6640625" style="65" customWidth="1"/>
    <col min="16135" max="16138" width="9.109375" style="65"/>
    <col min="16139" max="16139" width="12" style="65" bestFit="1" customWidth="1"/>
    <col min="16140" max="16384" width="9.109375" style="65"/>
  </cols>
  <sheetData>
    <row r="1" spans="1:11" x14ac:dyDescent="0.25">
      <c r="A1" s="65" t="s">
        <v>179</v>
      </c>
    </row>
    <row r="3" spans="1:11" ht="13.8" thickBot="1" x14ac:dyDescent="0.3"/>
    <row r="4" spans="1:11" ht="13.8" thickBot="1" x14ac:dyDescent="0.3">
      <c r="A4" s="127" t="s">
        <v>190</v>
      </c>
      <c r="B4" s="128"/>
      <c r="C4" s="128"/>
      <c r="D4" s="128"/>
      <c r="E4" s="128"/>
      <c r="F4" s="128"/>
      <c r="G4" s="128"/>
      <c r="H4" s="128"/>
      <c r="I4" s="129"/>
    </row>
    <row r="5" spans="1:11" ht="13.8" thickBot="1" x14ac:dyDescent="0.3">
      <c r="A5" s="130" t="s">
        <v>189</v>
      </c>
      <c r="B5" s="131"/>
      <c r="C5" s="131"/>
      <c r="D5" s="132"/>
      <c r="F5" s="130" t="s">
        <v>188</v>
      </c>
      <c r="G5" s="131"/>
      <c r="H5" s="131"/>
      <c r="I5" s="132"/>
    </row>
    <row r="6" spans="1:11" x14ac:dyDescent="0.25">
      <c r="A6" s="84"/>
      <c r="B6" s="91" t="s">
        <v>187</v>
      </c>
      <c r="C6" s="91" t="s">
        <v>186</v>
      </c>
      <c r="D6" s="85" t="s">
        <v>185</v>
      </c>
      <c r="F6" s="84"/>
      <c r="G6" s="91" t="s">
        <v>187</v>
      </c>
      <c r="H6" s="91" t="s">
        <v>186</v>
      </c>
      <c r="I6" s="85" t="s">
        <v>185</v>
      </c>
    </row>
    <row r="7" spans="1:11" x14ac:dyDescent="0.25">
      <c r="A7" s="78" t="s">
        <v>184</v>
      </c>
      <c r="B7" s="81"/>
      <c r="C7" s="81"/>
      <c r="D7" s="76" t="e">
        <f>AVERAGE(B7:C7)</f>
        <v>#DIV/0!</v>
      </c>
      <c r="F7" s="78" t="s">
        <v>184</v>
      </c>
      <c r="G7" s="77">
        <f t="shared" ref="G7:H9" si="0">B7/25.4</f>
        <v>0</v>
      </c>
      <c r="H7" s="77">
        <f t="shared" si="0"/>
        <v>0</v>
      </c>
      <c r="I7" s="76">
        <f>AVERAGE(G7:H7)</f>
        <v>0</v>
      </c>
      <c r="J7" s="77"/>
    </row>
    <row r="8" spans="1:11" x14ac:dyDescent="0.25">
      <c r="A8" s="78" t="s">
        <v>183</v>
      </c>
      <c r="B8" s="81"/>
      <c r="C8" s="81"/>
      <c r="D8" s="76" t="e">
        <f>AVERAGE(B8:C8)</f>
        <v>#DIV/0!</v>
      </c>
      <c r="F8" s="78" t="s">
        <v>183</v>
      </c>
      <c r="G8" s="77">
        <f t="shared" si="0"/>
        <v>0</v>
      </c>
      <c r="H8" s="77">
        <f t="shared" si="0"/>
        <v>0</v>
      </c>
      <c r="I8" s="76">
        <f>AVERAGE(G8:H8)</f>
        <v>0</v>
      </c>
      <c r="J8" s="77"/>
    </row>
    <row r="9" spans="1:11" x14ac:dyDescent="0.25">
      <c r="A9" s="78" t="s">
        <v>182</v>
      </c>
      <c r="B9" s="77">
        <f>C7+B11</f>
        <v>0</v>
      </c>
      <c r="C9" s="77">
        <f>B7+C11</f>
        <v>0</v>
      </c>
      <c r="D9" s="76">
        <f>AVERAGE(B9:C9)</f>
        <v>0</v>
      </c>
      <c r="F9" s="78" t="s">
        <v>182</v>
      </c>
      <c r="G9" s="77">
        <f t="shared" si="0"/>
        <v>0</v>
      </c>
      <c r="H9" s="77">
        <f t="shared" si="0"/>
        <v>0</v>
      </c>
      <c r="I9" s="76">
        <f>AVERAGE(G9:H9)</f>
        <v>0</v>
      </c>
      <c r="J9" s="77"/>
    </row>
    <row r="10" spans="1:11" x14ac:dyDescent="0.25">
      <c r="A10" s="78"/>
      <c r="B10" s="77"/>
      <c r="C10" s="77"/>
      <c r="D10" s="79"/>
      <c r="F10" s="78"/>
      <c r="I10" s="79"/>
      <c r="J10" s="77"/>
    </row>
    <row r="11" spans="1:11" x14ac:dyDescent="0.25">
      <c r="A11" s="78" t="s">
        <v>181</v>
      </c>
      <c r="B11" s="81"/>
      <c r="C11" s="81"/>
      <c r="D11" s="79" t="e">
        <f>AVERAGE(B11:C11)</f>
        <v>#DIV/0!</v>
      </c>
      <c r="F11" s="78" t="s">
        <v>181</v>
      </c>
      <c r="G11" s="77">
        <f>G9-H7</f>
        <v>0</v>
      </c>
      <c r="H11" s="77">
        <f>H9-G7</f>
        <v>0</v>
      </c>
      <c r="I11" s="76">
        <f>AVERAGE(G11:H11)</f>
        <v>0</v>
      </c>
      <c r="J11" s="90"/>
      <c r="K11" s="77"/>
    </row>
    <row r="12" spans="1:11" x14ac:dyDescent="0.25">
      <c r="A12" s="78" t="s">
        <v>180</v>
      </c>
      <c r="B12" s="77">
        <f>B8-C7</f>
        <v>0</v>
      </c>
      <c r="C12" s="77">
        <f>C8-B7</f>
        <v>0</v>
      </c>
      <c r="D12" s="79">
        <f>AVERAGE(B12:C12)</f>
        <v>0</v>
      </c>
      <c r="F12" s="78" t="s">
        <v>180</v>
      </c>
      <c r="G12" s="77">
        <f>G8-H7</f>
        <v>0</v>
      </c>
      <c r="H12" s="77">
        <f>H8-G7</f>
        <v>0</v>
      </c>
      <c r="I12" s="76">
        <f>AVERAGE(G12:H12)</f>
        <v>0</v>
      </c>
      <c r="J12" s="77"/>
    </row>
    <row r="13" spans="1:11" ht="13.8" thickBot="1" x14ac:dyDescent="0.3">
      <c r="A13" s="74" t="s">
        <v>179</v>
      </c>
      <c r="B13" s="73" t="e">
        <f>1-((C9-B7)/(B8-B7))</f>
        <v>#DIV/0!</v>
      </c>
      <c r="C13" s="73" t="e">
        <f>1-((B9-C7)/(C8-C7))</f>
        <v>#DIV/0!</v>
      </c>
      <c r="D13" s="89" t="e">
        <f>1-((D9-D7)/(D8-D7))</f>
        <v>#DIV/0!</v>
      </c>
      <c r="F13" s="74" t="s">
        <v>179</v>
      </c>
      <c r="G13" s="73" t="e">
        <f>1-((H9-G7)/(G8-G7))</f>
        <v>#DIV/0!</v>
      </c>
      <c r="H13" s="73" t="e">
        <f>1-((G9-H7)/(H8-H7))</f>
        <v>#DIV/0!</v>
      </c>
      <c r="I13" s="89" t="e">
        <f>1-((I9-I7)/(I8-I7))</f>
        <v>#DIV/0!</v>
      </c>
      <c r="J13" s="77"/>
    </row>
    <row r="14" spans="1:11" x14ac:dyDescent="0.25">
      <c r="B14" s="88"/>
      <c r="C14" s="88"/>
      <c r="D14" s="88" t="e">
        <f>1-(D11/D12)</f>
        <v>#DIV/0!</v>
      </c>
      <c r="G14" s="88"/>
      <c r="H14" s="88"/>
      <c r="I14" s="88"/>
      <c r="J14" s="77"/>
    </row>
    <row r="15" spans="1:11" hidden="1" x14ac:dyDescent="0.25">
      <c r="A15" s="84" t="s">
        <v>181</v>
      </c>
      <c r="B15" s="87">
        <v>0.26</v>
      </c>
      <c r="C15" s="86">
        <v>0.39</v>
      </c>
      <c r="D15" s="85">
        <f>AVERAGE(B15:C15)</f>
        <v>0.32500000000000001</v>
      </c>
      <c r="F15" s="84" t="s">
        <v>181</v>
      </c>
      <c r="G15" s="83">
        <f>B15/25.4</f>
        <v>1.0236220472440946E-2</v>
      </c>
      <c r="H15" s="83">
        <f>C15/25.4</f>
        <v>1.5354330708661419E-2</v>
      </c>
      <c r="I15" s="82">
        <f>AVERAGE(G15:H15)</f>
        <v>1.2795275590551183E-2</v>
      </c>
    </row>
    <row r="16" spans="1:11" hidden="1" x14ac:dyDescent="0.25">
      <c r="A16" s="78" t="s">
        <v>180</v>
      </c>
      <c r="B16" s="81">
        <v>0.3</v>
      </c>
      <c r="C16" s="80">
        <v>0.36</v>
      </c>
      <c r="D16" s="79">
        <f>AVERAGE(B16:C16)</f>
        <v>0.32999999999999996</v>
      </c>
      <c r="F16" s="78" t="s">
        <v>180</v>
      </c>
      <c r="G16" s="77">
        <f>B16/25.4</f>
        <v>1.1811023622047244E-2</v>
      </c>
      <c r="H16" s="77">
        <f>C16/25.4</f>
        <v>1.4173228346456693E-2</v>
      </c>
      <c r="I16" s="76">
        <f>AVERAGE(G16:H16)</f>
        <v>1.2992125984251968E-2</v>
      </c>
    </row>
    <row r="17" spans="1:9" ht="13.8" hidden="1" thickBot="1" x14ac:dyDescent="0.3">
      <c r="A17" s="74" t="s">
        <v>179</v>
      </c>
      <c r="B17" s="73">
        <f>1-((C15)/(B16))</f>
        <v>-0.30000000000000004</v>
      </c>
      <c r="C17" s="73">
        <f>1-((B15)/(C16))</f>
        <v>0.27777777777777768</v>
      </c>
      <c r="D17" s="75">
        <f>AVERAGE(B17:C17)</f>
        <v>-1.1111111111111183E-2</v>
      </c>
      <c r="F17" s="74" t="s">
        <v>179</v>
      </c>
      <c r="G17" s="73">
        <f>1-((H15)/(G16))</f>
        <v>-0.30000000000000004</v>
      </c>
      <c r="H17" s="73">
        <f>1-((G15)/(H16))</f>
        <v>0.27777777777777768</v>
      </c>
      <c r="I17" s="72">
        <f>AVERAGE(G17:H17)</f>
        <v>-1.1111111111111183E-2</v>
      </c>
    </row>
    <row r="18" spans="1:9" hidden="1" x14ac:dyDescent="0.25"/>
    <row r="19" spans="1:9" x14ac:dyDescent="0.25">
      <c r="A19" s="65" t="s">
        <v>178</v>
      </c>
    </row>
    <row r="21" spans="1:9" x14ac:dyDescent="0.25">
      <c r="A21" s="65" t="s">
        <v>177</v>
      </c>
    </row>
    <row r="23" spans="1:9" x14ac:dyDescent="0.25">
      <c r="A23" s="65" t="s">
        <v>176</v>
      </c>
    </row>
    <row r="24" spans="1:9" x14ac:dyDescent="0.25">
      <c r="A24" s="65" t="s">
        <v>175</v>
      </c>
    </row>
    <row r="40" spans="1:8" x14ac:dyDescent="0.25">
      <c r="D40" s="70"/>
    </row>
    <row r="41" spans="1:8" x14ac:dyDescent="0.25">
      <c r="B41" s="71"/>
      <c r="D41" s="70"/>
    </row>
    <row r="42" spans="1:8" x14ac:dyDescent="0.25">
      <c r="B42" s="71"/>
      <c r="D42" s="70"/>
    </row>
    <row r="44" spans="1:8" x14ac:dyDescent="0.25">
      <c r="D44" s="69"/>
    </row>
    <row r="45" spans="1:8" x14ac:dyDescent="0.25">
      <c r="D45" s="69"/>
    </row>
    <row r="48" spans="1:8" x14ac:dyDescent="0.25">
      <c r="A48" s="68" t="s">
        <v>174</v>
      </c>
      <c r="H48" s="68" t="s">
        <v>77</v>
      </c>
    </row>
    <row r="49" spans="1:8" x14ac:dyDescent="0.25">
      <c r="A49" s="65" t="s">
        <v>169</v>
      </c>
      <c r="B49" s="65">
        <v>1</v>
      </c>
      <c r="C49" s="65" t="s">
        <v>168</v>
      </c>
      <c r="D49" s="65" t="s">
        <v>173</v>
      </c>
      <c r="E49" s="65" t="s">
        <v>166</v>
      </c>
      <c r="F49" s="67">
        <v>8328800</v>
      </c>
      <c r="G49" s="65" t="s">
        <v>165</v>
      </c>
      <c r="H49" s="67">
        <f>CONVERT(F49,"lbf","N")/25.4</f>
        <v>1458596.3854008527</v>
      </c>
    </row>
    <row r="50" spans="1:8" x14ac:dyDescent="0.25">
      <c r="A50" s="65" t="s">
        <v>169</v>
      </c>
      <c r="B50" s="65">
        <v>2</v>
      </c>
      <c r="C50" s="65" t="s">
        <v>168</v>
      </c>
      <c r="D50" s="65" t="s">
        <v>172</v>
      </c>
      <c r="E50" s="65" t="s">
        <v>166</v>
      </c>
      <c r="F50" s="67">
        <v>8329200</v>
      </c>
      <c r="G50" s="65" t="s">
        <v>165</v>
      </c>
      <c r="H50" s="67">
        <f>CONVERT(F50,"lbf","N")/25.4</f>
        <v>1458666.4361349512</v>
      </c>
    </row>
    <row r="51" spans="1:8" x14ac:dyDescent="0.25">
      <c r="A51" s="65" t="s">
        <v>169</v>
      </c>
      <c r="B51" s="65">
        <v>3</v>
      </c>
      <c r="C51" s="65" t="s">
        <v>168</v>
      </c>
      <c r="D51" s="65" t="s">
        <v>171</v>
      </c>
      <c r="E51" s="65" t="s">
        <v>166</v>
      </c>
      <c r="F51" s="67">
        <v>8943400</v>
      </c>
      <c r="G51" s="65" t="s">
        <v>165</v>
      </c>
      <c r="H51" s="67">
        <f>CONVERT(F51,"lbf","N")/25.4</f>
        <v>1566229.3383433369</v>
      </c>
    </row>
    <row r="52" spans="1:8" x14ac:dyDescent="0.25">
      <c r="A52" s="65" t="s">
        <v>169</v>
      </c>
      <c r="B52" s="65">
        <v>4</v>
      </c>
      <c r="C52" s="65" t="s">
        <v>168</v>
      </c>
      <c r="D52" s="65" t="s">
        <v>170</v>
      </c>
      <c r="E52" s="65" t="s">
        <v>166</v>
      </c>
      <c r="F52" s="67">
        <v>9413800</v>
      </c>
      <c r="G52" s="65" t="s">
        <v>165</v>
      </c>
      <c r="H52" s="67">
        <f>CONVERT(F52,"lbf","N")/25.4</f>
        <v>1648609.0016432793</v>
      </c>
    </row>
    <row r="53" spans="1:8" ht="13.8" thickBot="1" x14ac:dyDescent="0.3">
      <c r="A53" s="65" t="s">
        <v>169</v>
      </c>
      <c r="B53" s="65">
        <v>5</v>
      </c>
      <c r="C53" s="65" t="s">
        <v>168</v>
      </c>
      <c r="D53" s="65" t="s">
        <v>167</v>
      </c>
      <c r="E53" s="65" t="s">
        <v>166</v>
      </c>
      <c r="F53" s="67">
        <v>8943700</v>
      </c>
      <c r="G53" s="65" t="s">
        <v>165</v>
      </c>
      <c r="H53" s="67">
        <f>CONVERT(F53,"lbf","N")/25.4</f>
        <v>1566281.876393911</v>
      </c>
    </row>
    <row r="54" spans="1:8" ht="13.8" thickBot="1" x14ac:dyDescent="0.3">
      <c r="H54" s="66">
        <f>AVERAGE(H49:H53)</f>
        <v>1539676.6075832662</v>
      </c>
    </row>
  </sheetData>
  <mergeCells count="3">
    <mergeCell ref="A4:I4"/>
    <mergeCell ref="A5:D5"/>
    <mergeCell ref="F5:I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L35"/>
  <sheetViews>
    <sheetView workbookViewId="0">
      <selection activeCell="C36" sqref="C36"/>
    </sheetView>
  </sheetViews>
  <sheetFormatPr defaultRowHeight="13.2" x14ac:dyDescent="0.25"/>
  <cols>
    <col min="1" max="1" width="18.109375" customWidth="1"/>
    <col min="2" max="4" width="11.33203125" bestFit="1" customWidth="1"/>
  </cols>
  <sheetData>
    <row r="2" spans="1:12" x14ac:dyDescent="0.25">
      <c r="B2" t="s">
        <v>38</v>
      </c>
      <c r="C2" t="s">
        <v>53</v>
      </c>
      <c r="D2" t="s">
        <v>77</v>
      </c>
      <c r="K2" s="123" t="s">
        <v>87</v>
      </c>
      <c r="L2" s="122"/>
    </row>
    <row r="3" spans="1:12" x14ac:dyDescent="0.25">
      <c r="A3" t="s">
        <v>52</v>
      </c>
      <c r="B3" s="43">
        <v>1</v>
      </c>
      <c r="C3" s="62">
        <f>B3/(2.204623*2.54)</f>
        <v>0.17857964259720358</v>
      </c>
      <c r="D3" s="62">
        <f>CONVERT(B3,"lbf","N")/25.4</f>
        <v>0.1751268352464764</v>
      </c>
      <c r="L3" t="s">
        <v>81</v>
      </c>
    </row>
    <row r="4" spans="1:12" x14ac:dyDescent="0.25">
      <c r="B4" s="8"/>
      <c r="C4" s="8"/>
      <c r="D4" s="8"/>
      <c r="K4" s="8" t="s">
        <v>88</v>
      </c>
      <c r="L4">
        <f>10^2</f>
        <v>100</v>
      </c>
    </row>
    <row r="5" spans="1:12" x14ac:dyDescent="0.25">
      <c r="B5" s="8"/>
      <c r="C5" s="8"/>
      <c r="D5" s="8"/>
      <c r="K5" t="s">
        <v>82</v>
      </c>
      <c r="L5">
        <f>10^1</f>
        <v>10</v>
      </c>
    </row>
    <row r="6" spans="1:12" x14ac:dyDescent="0.25">
      <c r="A6" s="8" t="s">
        <v>60</v>
      </c>
      <c r="B6" s="8" t="s">
        <v>61</v>
      </c>
      <c r="C6" s="8" t="s">
        <v>62</v>
      </c>
      <c r="D6" s="8"/>
      <c r="K6" t="s">
        <v>83</v>
      </c>
      <c r="L6">
        <f>10^0</f>
        <v>1</v>
      </c>
    </row>
    <row r="7" spans="1:12" x14ac:dyDescent="0.25">
      <c r="B7" s="8">
        <v>713.1</v>
      </c>
      <c r="C7" s="36">
        <f>B7/(2.204623*2.54)</f>
        <v>127.34514313606587</v>
      </c>
      <c r="D7" s="8"/>
      <c r="K7" t="s">
        <v>84</v>
      </c>
      <c r="L7">
        <f>10^-1</f>
        <v>0.1</v>
      </c>
    </row>
    <row r="8" spans="1:12" x14ac:dyDescent="0.25">
      <c r="B8" s="8"/>
      <c r="C8" s="8"/>
      <c r="D8" s="8"/>
      <c r="K8" t="s">
        <v>85</v>
      </c>
      <c r="L8">
        <f>10^-2</f>
        <v>0.01</v>
      </c>
    </row>
    <row r="9" spans="1:12" x14ac:dyDescent="0.25">
      <c r="B9" s="37" t="s">
        <v>4</v>
      </c>
      <c r="C9" s="38" t="s">
        <v>41</v>
      </c>
      <c r="D9" s="37" t="s">
        <v>0</v>
      </c>
      <c r="F9" s="37" t="s">
        <v>41</v>
      </c>
      <c r="G9" s="37" t="s">
        <v>4</v>
      </c>
      <c r="K9" t="s">
        <v>86</v>
      </c>
      <c r="L9">
        <f>10^-3</f>
        <v>1E-3</v>
      </c>
    </row>
    <row r="10" spans="1:12" x14ac:dyDescent="0.25">
      <c r="A10" s="8" t="s">
        <v>45</v>
      </c>
      <c r="B10">
        <v>1.2999999999999999E-3</v>
      </c>
      <c r="C10">
        <f>B10*25.4</f>
        <v>3.3019999999999994E-2</v>
      </c>
      <c r="D10">
        <f>B10*2.54</f>
        <v>3.3019999999999998E-3</v>
      </c>
      <c r="F10">
        <v>0.6</v>
      </c>
      <c r="G10">
        <f>F10/25.4</f>
        <v>2.3622047244094488E-2</v>
      </c>
    </row>
    <row r="12" spans="1:12" x14ac:dyDescent="0.25">
      <c r="B12" s="8" t="s">
        <v>55</v>
      </c>
      <c r="C12" s="8" t="s">
        <v>56</v>
      </c>
    </row>
    <row r="13" spans="1:12" x14ac:dyDescent="0.25">
      <c r="A13" s="8" t="s">
        <v>54</v>
      </c>
      <c r="B13">
        <v>7.4</v>
      </c>
      <c r="C13">
        <f>B13*3.79</f>
        <v>28.046000000000003</v>
      </c>
    </row>
    <row r="15" spans="1:12" x14ac:dyDescent="0.25">
      <c r="B15" s="8" t="s">
        <v>6</v>
      </c>
      <c r="C15" s="8" t="s">
        <v>1</v>
      </c>
    </row>
    <row r="16" spans="1:12" x14ac:dyDescent="0.25">
      <c r="A16" s="8" t="s">
        <v>40</v>
      </c>
      <c r="B16">
        <v>1</v>
      </c>
      <c r="C16">
        <f>B16/2.204623</f>
        <v>0.45359229219689712</v>
      </c>
    </row>
    <row r="18" spans="1:3" x14ac:dyDescent="0.25">
      <c r="B18" s="8" t="s">
        <v>58</v>
      </c>
      <c r="C18" s="8" t="s">
        <v>59</v>
      </c>
    </row>
    <row r="19" spans="1:3" x14ac:dyDescent="0.25">
      <c r="A19" s="8" t="s">
        <v>57</v>
      </c>
      <c r="B19">
        <v>186</v>
      </c>
      <c r="C19">
        <f>CONVERT(B19,"F","C")</f>
        <v>85.555555555555557</v>
      </c>
    </row>
    <row r="21" spans="1:3" x14ac:dyDescent="0.25">
      <c r="B21" s="8" t="s">
        <v>5</v>
      </c>
      <c r="C21" s="8" t="s">
        <v>64</v>
      </c>
    </row>
    <row r="22" spans="1:3" x14ac:dyDescent="0.25">
      <c r="A22" s="8" t="s">
        <v>63</v>
      </c>
      <c r="B22">
        <v>506.7</v>
      </c>
      <c r="C22">
        <f>B22*0.068947573</f>
        <v>34.935735239099998</v>
      </c>
    </row>
    <row r="24" spans="1:3" x14ac:dyDescent="0.25">
      <c r="B24" s="8" t="s">
        <v>43</v>
      </c>
      <c r="C24" s="8" t="s">
        <v>66</v>
      </c>
    </row>
    <row r="25" spans="1:3" x14ac:dyDescent="0.25">
      <c r="A25" s="8" t="s">
        <v>65</v>
      </c>
      <c r="B25">
        <v>5.99</v>
      </c>
      <c r="C25">
        <f>CONVERT(B25,"HP","W")/1000</f>
        <v>4.4667422307777986</v>
      </c>
    </row>
    <row r="27" spans="1:3" x14ac:dyDescent="0.25">
      <c r="B27" t="s">
        <v>6</v>
      </c>
      <c r="C27" t="s">
        <v>1</v>
      </c>
    </row>
    <row r="28" spans="1:3" x14ac:dyDescent="0.25">
      <c r="A28" t="s">
        <v>40</v>
      </c>
      <c r="B28">
        <v>1</v>
      </c>
      <c r="C28">
        <f>B28/2.204623</f>
        <v>0.45359229219689712</v>
      </c>
    </row>
    <row r="31" spans="1:3" x14ac:dyDescent="0.25">
      <c r="A31" t="s">
        <v>3</v>
      </c>
      <c r="B31" t="s">
        <v>149</v>
      </c>
      <c r="C31" t="s">
        <v>150</v>
      </c>
    </row>
    <row r="32" spans="1:3" x14ac:dyDescent="0.25">
      <c r="B32">
        <v>1</v>
      </c>
      <c r="C32">
        <f>B32*CONVERT(1,"lbm","kg")/CONVERT(1,"in","m")^3</f>
        <v>27679.904710203125</v>
      </c>
    </row>
    <row r="34" spans="1:3" x14ac:dyDescent="0.25">
      <c r="A34" t="s">
        <v>151</v>
      </c>
      <c r="B34" t="s">
        <v>153</v>
      </c>
      <c r="C34" t="s">
        <v>152</v>
      </c>
    </row>
    <row r="35" spans="1:3" x14ac:dyDescent="0.25">
      <c r="B35">
        <v>1</v>
      </c>
      <c r="C35">
        <f>B35*CONVERT(1,"lbm","kg")*CONVERT(1,"in","m")^2</f>
        <v>2.9263965342919999E-4</v>
      </c>
    </row>
  </sheetData>
  <mergeCells count="1">
    <mergeCell ref="K2:L2"/>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B4"/>
  <sheetViews>
    <sheetView workbookViewId="0">
      <selection activeCell="A4" sqref="A4:B18"/>
    </sheetView>
  </sheetViews>
  <sheetFormatPr defaultRowHeight="13.2" x14ac:dyDescent="0.25"/>
  <cols>
    <col min="1" max="1" width="43.5546875" customWidth="1"/>
    <col min="2" max="2" width="44.88671875" customWidth="1"/>
  </cols>
  <sheetData>
    <row r="1" spans="1:2" x14ac:dyDescent="0.25">
      <c r="A1" t="s">
        <v>132</v>
      </c>
    </row>
    <row r="3" spans="1:2" x14ac:dyDescent="0.25">
      <c r="A3" t="s">
        <v>133</v>
      </c>
      <c r="B3" t="s">
        <v>134</v>
      </c>
    </row>
    <row r="4" spans="1:2" x14ac:dyDescent="0.25">
      <c r="A4" s="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workbookViewId="0">
      <selection activeCell="I29" sqref="I29"/>
    </sheetView>
  </sheetViews>
  <sheetFormatPr defaultRowHeight="13.2" x14ac:dyDescent="0.25"/>
  <cols>
    <col min="1" max="1" width="18.44140625" customWidth="1"/>
    <col min="2" max="2" width="15.109375" customWidth="1"/>
    <col min="3" max="3" width="13.886718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Rotor model (SI)</vt:lpstr>
      <vt:lpstr>Rotor Model (SAE)</vt:lpstr>
      <vt:lpstr>Rotor Export</vt:lpstr>
      <vt:lpstr>Mode comparison</vt:lpstr>
      <vt:lpstr>4WN</vt:lpstr>
      <vt:lpstr>preload</vt:lpstr>
      <vt:lpstr>unit conversion</vt:lpstr>
      <vt:lpstr>Documents</vt:lpstr>
      <vt:lpstr>Forces on the core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Byrne</dc:creator>
  <cp:lastModifiedBy>Will Davis</cp:lastModifiedBy>
  <cp:lastPrinted>2011-04-13T21:26:34Z</cp:lastPrinted>
  <dcterms:created xsi:type="dcterms:W3CDTF">2008-02-01T13:53:40Z</dcterms:created>
  <dcterms:modified xsi:type="dcterms:W3CDTF">2025-07-21T17:26:57Z</dcterms:modified>
</cp:coreProperties>
</file>